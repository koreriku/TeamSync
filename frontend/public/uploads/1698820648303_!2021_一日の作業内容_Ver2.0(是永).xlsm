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402" codeName="{3D1A710C-6663-3D7B-7F91-EC182F24A4BC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korenaga\Desktop\"/>
    </mc:Choice>
  </mc:AlternateContent>
  <xr:revisionPtr revIDLastSave="0" documentId="8_{6E37BE4F-0A0A-4CEE-B39F-6A79A2827103}" xr6:coauthVersionLast="36" xr6:coauthVersionMax="36" xr10:uidLastSave="{00000000-0000-0000-0000-000000000000}"/>
  <bookViews>
    <workbookView xWindow="0" yWindow="0" windowWidth="23040" windowHeight="9612" tabRatio="869" activeTab="3" xr2:uid="{00000000-000D-0000-FFFF-FFFF00000000}"/>
  </bookViews>
  <sheets>
    <sheet name="コード" sheetId="41" r:id="rId1"/>
    <sheet name="データシート" sheetId="170" r:id="rId2"/>
    <sheet name="CSV用領域" sheetId="171" r:id="rId3"/>
    <sheet name="入力 (2021.4)" sheetId="209" r:id="rId4"/>
  </sheets>
  <functionGroups builtInGroupCount="19"/>
  <definedNames>
    <definedName name="_xlnm._FilterDatabase" localSheetId="3" hidden="1">'入力 (2021.4)'!$A$2:$S$156</definedName>
  </definedNames>
  <calcPr calcId="191029"/>
</workbook>
</file>

<file path=xl/calcChain.xml><?xml version="1.0" encoding="utf-8"?>
<calcChain xmlns="http://schemas.openxmlformats.org/spreadsheetml/2006/main">
  <c r="J4" i="209" l="1"/>
  <c r="J5" i="209"/>
  <c r="J6" i="209"/>
  <c r="J7" i="209"/>
  <c r="J8" i="209"/>
  <c r="J9" i="209"/>
  <c r="J10" i="209"/>
  <c r="J11" i="209"/>
  <c r="J12" i="209"/>
  <c r="J13" i="209"/>
  <c r="J14" i="209"/>
  <c r="J15" i="209"/>
  <c r="J16" i="209"/>
  <c r="J17" i="209"/>
  <c r="J18" i="209"/>
  <c r="J19" i="209"/>
  <c r="J20" i="209"/>
  <c r="J21" i="209"/>
  <c r="J22" i="209"/>
  <c r="J23" i="209"/>
  <c r="J24" i="209"/>
  <c r="J25" i="209"/>
  <c r="J26" i="209"/>
  <c r="J27" i="209"/>
  <c r="J3" i="209"/>
  <c r="K179" i="209" l="1"/>
  <c r="K178" i="209" l="1"/>
  <c r="K177" i="209" l="1"/>
  <c r="K176" i="209"/>
  <c r="K174" i="209" l="1"/>
  <c r="K173" i="209"/>
  <c r="K171" i="209" l="1"/>
  <c r="K170" i="209"/>
  <c r="K169" i="209"/>
  <c r="K172" i="209"/>
  <c r="K167" i="209"/>
  <c r="K166" i="209"/>
  <c r="K165" i="209"/>
  <c r="K164" i="209"/>
  <c r="K163" i="209"/>
  <c r="K162" i="209"/>
  <c r="K161" i="209"/>
  <c r="K160" i="209"/>
  <c r="K159" i="209" l="1"/>
  <c r="D159" i="209"/>
  <c r="K158" i="209"/>
  <c r="D158" i="209"/>
  <c r="K157" i="209"/>
  <c r="D157" i="209"/>
  <c r="K156" i="209"/>
  <c r="D156" i="209"/>
  <c r="K155" i="209"/>
  <c r="D155" i="209"/>
  <c r="K154" i="209"/>
  <c r="D154" i="209"/>
  <c r="K153" i="209"/>
  <c r="D153" i="209"/>
  <c r="K152" i="209"/>
  <c r="D152" i="209"/>
  <c r="K150" i="209" l="1"/>
  <c r="K149" i="209"/>
  <c r="K148" i="209"/>
  <c r="K147" i="209"/>
  <c r="K146" i="209"/>
  <c r="K145" i="209"/>
  <c r="K144" i="209"/>
  <c r="K143" i="209"/>
  <c r="K142" i="209" l="1"/>
  <c r="K140" i="209" l="1"/>
  <c r="K139" i="209"/>
  <c r="K138" i="209"/>
  <c r="K137" i="209"/>
  <c r="K136" i="209"/>
  <c r="K135" i="209"/>
  <c r="K134" i="209"/>
  <c r="K133" i="209"/>
  <c r="K132" i="209"/>
  <c r="K131" i="209" l="1"/>
  <c r="K130" i="209" l="1"/>
  <c r="K129" i="209"/>
  <c r="K128" i="209"/>
  <c r="K127" i="209"/>
  <c r="K126" i="209"/>
  <c r="K125" i="209"/>
  <c r="K124" i="209"/>
  <c r="K123" i="209"/>
  <c r="D130" i="209"/>
  <c r="D129" i="209"/>
  <c r="D128" i="209"/>
  <c r="D127" i="209"/>
  <c r="D126" i="209"/>
  <c r="D125" i="209"/>
  <c r="D124" i="209"/>
  <c r="K122" i="209"/>
  <c r="K121" i="209"/>
  <c r="K120" i="209" l="1"/>
  <c r="K119" i="209" l="1"/>
  <c r="K118" i="209"/>
  <c r="K117" i="209"/>
  <c r="K116" i="209"/>
  <c r="K115" i="209"/>
  <c r="K114" i="209"/>
  <c r="K113" i="209"/>
  <c r="K112" i="209"/>
  <c r="K109" i="209"/>
  <c r="K108" i="209"/>
  <c r="K107" i="209"/>
  <c r="K106" i="209"/>
  <c r="K105" i="209"/>
  <c r="K104" i="209"/>
  <c r="K103" i="209"/>
  <c r="K102" i="209"/>
  <c r="K101" i="209"/>
  <c r="K100" i="209"/>
  <c r="K99" i="209"/>
  <c r="K98" i="209"/>
  <c r="K97" i="209"/>
  <c r="K96" i="209"/>
  <c r="K95" i="209"/>
  <c r="K94" i="209"/>
  <c r="D112" i="209"/>
  <c r="D111" i="209"/>
  <c r="D110" i="209"/>
  <c r="K93" i="209" l="1"/>
  <c r="K90" i="209" l="1"/>
  <c r="K89" i="209"/>
  <c r="K88" i="209"/>
  <c r="K87" i="209"/>
  <c r="K86" i="209"/>
  <c r="K85" i="209"/>
  <c r="K84" i="209"/>
  <c r="K83" i="209"/>
  <c r="K91" i="209"/>
  <c r="D91" i="209"/>
  <c r="K82" i="209"/>
  <c r="K44" i="209"/>
  <c r="O339" i="209" l="1"/>
  <c r="N339" i="209"/>
  <c r="K339" i="209"/>
  <c r="D339" i="209"/>
  <c r="O338" i="209"/>
  <c r="N338" i="209"/>
  <c r="K338" i="209"/>
  <c r="D338" i="209"/>
  <c r="O337" i="209"/>
  <c r="N337" i="209"/>
  <c r="K337" i="209"/>
  <c r="D337" i="209"/>
  <c r="O336" i="209"/>
  <c r="N336" i="209"/>
  <c r="K336" i="209"/>
  <c r="D336" i="209"/>
  <c r="O335" i="209"/>
  <c r="N335" i="209"/>
  <c r="K335" i="209"/>
  <c r="D335" i="209"/>
  <c r="O334" i="209"/>
  <c r="N334" i="209"/>
  <c r="K334" i="209"/>
  <c r="D334" i="209"/>
  <c r="O333" i="209"/>
  <c r="N333" i="209"/>
  <c r="K333" i="209"/>
  <c r="D333" i="209"/>
  <c r="O332" i="209"/>
  <c r="N332" i="209"/>
  <c r="K332" i="209"/>
  <c r="D332" i="209"/>
  <c r="O331" i="209"/>
  <c r="N331" i="209"/>
  <c r="K331" i="209"/>
  <c r="D331" i="209"/>
  <c r="O330" i="209"/>
  <c r="N330" i="209"/>
  <c r="K330" i="209"/>
  <c r="D330" i="209"/>
  <c r="O329" i="209"/>
  <c r="N329" i="209"/>
  <c r="K329" i="209"/>
  <c r="D329" i="209"/>
  <c r="O328" i="209"/>
  <c r="N328" i="209"/>
  <c r="K328" i="209"/>
  <c r="D328" i="209"/>
  <c r="O327" i="209"/>
  <c r="N327" i="209"/>
  <c r="K327" i="209"/>
  <c r="D327" i="209"/>
  <c r="O326" i="209"/>
  <c r="N326" i="209"/>
  <c r="K326" i="209"/>
  <c r="D326" i="209"/>
  <c r="O325" i="209"/>
  <c r="N325" i="209"/>
  <c r="K325" i="209"/>
  <c r="D325" i="209"/>
  <c r="O324" i="209"/>
  <c r="N324" i="209"/>
  <c r="K324" i="209"/>
  <c r="D324" i="209"/>
  <c r="O323" i="209"/>
  <c r="N323" i="209"/>
  <c r="K323" i="209"/>
  <c r="D323" i="209"/>
  <c r="O322" i="209"/>
  <c r="N322" i="209"/>
  <c r="K322" i="209"/>
  <c r="D322" i="209"/>
  <c r="O321" i="209"/>
  <c r="N321" i="209"/>
  <c r="K321" i="209"/>
  <c r="D321" i="209"/>
  <c r="O320" i="209"/>
  <c r="N320" i="209"/>
  <c r="K320" i="209"/>
  <c r="D320" i="209"/>
  <c r="O319" i="209"/>
  <c r="N319" i="209"/>
  <c r="K319" i="209"/>
  <c r="D319" i="209"/>
  <c r="O318" i="209"/>
  <c r="N318" i="209"/>
  <c r="K318" i="209"/>
  <c r="D318" i="209"/>
  <c r="O317" i="209"/>
  <c r="N317" i="209"/>
  <c r="K317" i="209"/>
  <c r="D317" i="209"/>
  <c r="O316" i="209"/>
  <c r="N316" i="209"/>
  <c r="K316" i="209"/>
  <c r="D316" i="209"/>
  <c r="O315" i="209"/>
  <c r="N315" i="209"/>
  <c r="K315" i="209"/>
  <c r="D315" i="209"/>
  <c r="O314" i="209"/>
  <c r="N314" i="209"/>
  <c r="K314" i="209"/>
  <c r="D314" i="209"/>
  <c r="O313" i="209"/>
  <c r="N313" i="209"/>
  <c r="K313" i="209"/>
  <c r="D313" i="209"/>
  <c r="O312" i="209"/>
  <c r="N312" i="209"/>
  <c r="K312" i="209"/>
  <c r="D312" i="209"/>
  <c r="O311" i="209"/>
  <c r="N311" i="209"/>
  <c r="K311" i="209"/>
  <c r="D311" i="209"/>
  <c r="O310" i="209"/>
  <c r="N310" i="209"/>
  <c r="K310" i="209"/>
  <c r="D310" i="209"/>
  <c r="O309" i="209"/>
  <c r="N309" i="209"/>
  <c r="K309" i="209"/>
  <c r="D309" i="209"/>
  <c r="O308" i="209"/>
  <c r="N308" i="209"/>
  <c r="K308" i="209"/>
  <c r="D308" i="209"/>
  <c r="O307" i="209"/>
  <c r="N307" i="209"/>
  <c r="K307" i="209"/>
  <c r="D307" i="209"/>
  <c r="O306" i="209"/>
  <c r="N306" i="209"/>
  <c r="K306" i="209"/>
  <c r="D306" i="209"/>
  <c r="O305" i="209"/>
  <c r="N305" i="209"/>
  <c r="K305" i="209"/>
  <c r="D305" i="209"/>
  <c r="O304" i="209"/>
  <c r="N304" i="209"/>
  <c r="K304" i="209"/>
  <c r="D304" i="209"/>
  <c r="O303" i="209"/>
  <c r="N303" i="209"/>
  <c r="K303" i="209"/>
  <c r="D303" i="209"/>
  <c r="O302" i="209"/>
  <c r="N302" i="209"/>
  <c r="K302" i="209"/>
  <c r="D302" i="209"/>
  <c r="O301" i="209"/>
  <c r="N301" i="209"/>
  <c r="K301" i="209"/>
  <c r="D301" i="209"/>
  <c r="O300" i="209"/>
  <c r="N300" i="209"/>
  <c r="K300" i="209"/>
  <c r="D300" i="209"/>
  <c r="O299" i="209"/>
  <c r="N299" i="209"/>
  <c r="K299" i="209"/>
  <c r="D299" i="209"/>
  <c r="O298" i="209"/>
  <c r="N298" i="209"/>
  <c r="K298" i="209"/>
  <c r="D298" i="209"/>
  <c r="O297" i="209"/>
  <c r="N297" i="209"/>
  <c r="K297" i="209"/>
  <c r="D297" i="209"/>
  <c r="O296" i="209"/>
  <c r="N296" i="209"/>
  <c r="K296" i="209"/>
  <c r="D296" i="209"/>
  <c r="O295" i="209"/>
  <c r="N295" i="209"/>
  <c r="K295" i="209"/>
  <c r="D295" i="209"/>
  <c r="O294" i="209"/>
  <c r="N294" i="209"/>
  <c r="K294" i="209"/>
  <c r="D294" i="209"/>
  <c r="O293" i="209"/>
  <c r="N293" i="209"/>
  <c r="K293" i="209"/>
  <c r="D293" i="209"/>
  <c r="O292" i="209"/>
  <c r="N292" i="209"/>
  <c r="K292" i="209"/>
  <c r="D292" i="209"/>
  <c r="O291" i="209"/>
  <c r="N291" i="209"/>
  <c r="K291" i="209"/>
  <c r="D291" i="209"/>
  <c r="O290" i="209"/>
  <c r="N290" i="209"/>
  <c r="K290" i="209"/>
  <c r="D290" i="209"/>
  <c r="O289" i="209"/>
  <c r="N289" i="209"/>
  <c r="K289" i="209"/>
  <c r="D289" i="209"/>
  <c r="O288" i="209"/>
  <c r="N288" i="209"/>
  <c r="K288" i="209"/>
  <c r="D288" i="209"/>
  <c r="O287" i="209"/>
  <c r="N287" i="209"/>
  <c r="K287" i="209"/>
  <c r="D287" i="209"/>
  <c r="O286" i="209"/>
  <c r="N286" i="209"/>
  <c r="K286" i="209"/>
  <c r="D286" i="209"/>
  <c r="O285" i="209"/>
  <c r="N285" i="209"/>
  <c r="K285" i="209"/>
  <c r="D285" i="209"/>
  <c r="O284" i="209"/>
  <c r="N284" i="209"/>
  <c r="K284" i="209"/>
  <c r="D284" i="209"/>
  <c r="O283" i="209"/>
  <c r="N283" i="209"/>
  <c r="K283" i="209"/>
  <c r="D283" i="209"/>
  <c r="O282" i="209"/>
  <c r="N282" i="209"/>
  <c r="K282" i="209"/>
  <c r="D282" i="209"/>
  <c r="O281" i="209"/>
  <c r="N281" i="209"/>
  <c r="K281" i="209"/>
  <c r="D281" i="209"/>
  <c r="O280" i="209"/>
  <c r="N280" i="209"/>
  <c r="K280" i="209"/>
  <c r="D280" i="209"/>
  <c r="O279" i="209"/>
  <c r="N279" i="209"/>
  <c r="K279" i="209"/>
  <c r="D279" i="209"/>
  <c r="O278" i="209"/>
  <c r="N278" i="209"/>
  <c r="K278" i="209"/>
  <c r="D278" i="209"/>
  <c r="O277" i="209"/>
  <c r="N277" i="209"/>
  <c r="K277" i="209"/>
  <c r="D277" i="209"/>
  <c r="O276" i="209"/>
  <c r="N276" i="209"/>
  <c r="K276" i="209"/>
  <c r="D276" i="209"/>
  <c r="O275" i="209"/>
  <c r="N275" i="209"/>
  <c r="K275" i="209"/>
  <c r="D275" i="209"/>
  <c r="O274" i="209"/>
  <c r="N274" i="209"/>
  <c r="K274" i="209"/>
  <c r="D274" i="209"/>
  <c r="O273" i="209"/>
  <c r="N273" i="209"/>
  <c r="K273" i="209"/>
  <c r="D273" i="209"/>
  <c r="O272" i="209"/>
  <c r="N272" i="209"/>
  <c r="K272" i="209"/>
  <c r="D272" i="209"/>
  <c r="O271" i="209"/>
  <c r="N271" i="209"/>
  <c r="K271" i="209"/>
  <c r="D271" i="209"/>
  <c r="O270" i="209"/>
  <c r="N270" i="209"/>
  <c r="K270" i="209"/>
  <c r="D270" i="209"/>
  <c r="O269" i="209"/>
  <c r="N269" i="209"/>
  <c r="K269" i="209"/>
  <c r="D269" i="209"/>
  <c r="O268" i="209"/>
  <c r="N268" i="209"/>
  <c r="K268" i="209"/>
  <c r="D268" i="209"/>
  <c r="O267" i="209"/>
  <c r="N267" i="209"/>
  <c r="K267" i="209"/>
  <c r="D267" i="209"/>
  <c r="O266" i="209"/>
  <c r="N266" i="209"/>
  <c r="K266" i="209"/>
  <c r="D266" i="209"/>
  <c r="O265" i="209"/>
  <c r="N265" i="209"/>
  <c r="K265" i="209"/>
  <c r="D265" i="209"/>
  <c r="O264" i="209"/>
  <c r="N264" i="209"/>
  <c r="K264" i="209"/>
  <c r="D264" i="209"/>
  <c r="O263" i="209"/>
  <c r="N263" i="209"/>
  <c r="K263" i="209"/>
  <c r="D263" i="209"/>
  <c r="O262" i="209"/>
  <c r="N262" i="209"/>
  <c r="K262" i="209"/>
  <c r="D262" i="209"/>
  <c r="O261" i="209"/>
  <c r="N261" i="209"/>
  <c r="K261" i="209"/>
  <c r="D261" i="209"/>
  <c r="O260" i="209"/>
  <c r="N260" i="209"/>
  <c r="K260" i="209"/>
  <c r="D260" i="209"/>
  <c r="O259" i="209"/>
  <c r="N259" i="209"/>
  <c r="K259" i="209"/>
  <c r="D259" i="209"/>
  <c r="O258" i="209"/>
  <c r="N258" i="209"/>
  <c r="K258" i="209"/>
  <c r="D258" i="209"/>
  <c r="O257" i="209"/>
  <c r="N257" i="209"/>
  <c r="K257" i="209"/>
  <c r="D257" i="209"/>
  <c r="O256" i="209"/>
  <c r="N256" i="209"/>
  <c r="K256" i="209"/>
  <c r="D256" i="209"/>
  <c r="O255" i="209"/>
  <c r="N255" i="209"/>
  <c r="K255" i="209"/>
  <c r="D255" i="209"/>
  <c r="O254" i="209"/>
  <c r="N254" i="209"/>
  <c r="K254" i="209"/>
  <c r="D254" i="209"/>
  <c r="O253" i="209"/>
  <c r="N253" i="209"/>
  <c r="K253" i="209"/>
  <c r="D253" i="209"/>
  <c r="O252" i="209"/>
  <c r="N252" i="209"/>
  <c r="K252" i="209"/>
  <c r="D252" i="209"/>
  <c r="O251" i="209"/>
  <c r="N251" i="209"/>
  <c r="K251" i="209"/>
  <c r="D251" i="209"/>
  <c r="O250" i="209"/>
  <c r="N250" i="209"/>
  <c r="K250" i="209"/>
  <c r="D250" i="209"/>
  <c r="O249" i="209"/>
  <c r="N249" i="209"/>
  <c r="K249" i="209"/>
  <c r="D249" i="209"/>
  <c r="O248" i="209"/>
  <c r="N248" i="209"/>
  <c r="K248" i="209"/>
  <c r="D248" i="209"/>
  <c r="O247" i="209"/>
  <c r="N247" i="209"/>
  <c r="K247" i="209"/>
  <c r="D247" i="209"/>
  <c r="O246" i="209"/>
  <c r="N246" i="209"/>
  <c r="K246" i="209"/>
  <c r="D246" i="209"/>
  <c r="O245" i="209"/>
  <c r="N245" i="209"/>
  <c r="K245" i="209"/>
  <c r="D245" i="209"/>
  <c r="O244" i="209"/>
  <c r="N244" i="209"/>
  <c r="K244" i="209"/>
  <c r="D244" i="209"/>
  <c r="O243" i="209"/>
  <c r="N243" i="209"/>
  <c r="K243" i="209"/>
  <c r="D243" i="209"/>
  <c r="O242" i="209"/>
  <c r="N242" i="209"/>
  <c r="K242" i="209"/>
  <c r="D242" i="209"/>
  <c r="O241" i="209"/>
  <c r="N241" i="209"/>
  <c r="K241" i="209"/>
  <c r="D241" i="209"/>
  <c r="O240" i="209"/>
  <c r="N240" i="209"/>
  <c r="K240" i="209"/>
  <c r="D240" i="209"/>
  <c r="O239" i="209"/>
  <c r="N239" i="209"/>
  <c r="K239" i="209"/>
  <c r="D239" i="209"/>
  <c r="O238" i="209"/>
  <c r="N238" i="209"/>
  <c r="K238" i="209"/>
  <c r="D238" i="209"/>
  <c r="O237" i="209"/>
  <c r="N237" i="209"/>
  <c r="K237" i="209"/>
  <c r="D237" i="209"/>
  <c r="O236" i="209"/>
  <c r="N236" i="209"/>
  <c r="K236" i="209"/>
  <c r="D236" i="209"/>
  <c r="O235" i="209"/>
  <c r="N235" i="209"/>
  <c r="K235" i="209"/>
  <c r="D235" i="209"/>
  <c r="O234" i="209"/>
  <c r="N234" i="209"/>
  <c r="K234" i="209"/>
  <c r="D234" i="209"/>
  <c r="O233" i="209"/>
  <c r="N233" i="209"/>
  <c r="K233" i="209"/>
  <c r="D233" i="209"/>
  <c r="O232" i="209"/>
  <c r="N232" i="209"/>
  <c r="K232" i="209"/>
  <c r="D232" i="209"/>
  <c r="O231" i="209"/>
  <c r="N231" i="209"/>
  <c r="K231" i="209"/>
  <c r="D231" i="209"/>
  <c r="O230" i="209"/>
  <c r="N230" i="209"/>
  <c r="K230" i="209"/>
  <c r="D230" i="209"/>
  <c r="O229" i="209"/>
  <c r="N229" i="209"/>
  <c r="K229" i="209"/>
  <c r="D229" i="209"/>
  <c r="O228" i="209"/>
  <c r="N228" i="209"/>
  <c r="K228" i="209"/>
  <c r="D228" i="209"/>
  <c r="O227" i="209"/>
  <c r="N227" i="209"/>
  <c r="K227" i="209"/>
  <c r="D227" i="209"/>
  <c r="O226" i="209"/>
  <c r="N226" i="209"/>
  <c r="K226" i="209"/>
  <c r="D226" i="209"/>
  <c r="O225" i="209"/>
  <c r="N225" i="209"/>
  <c r="K225" i="209"/>
  <c r="D225" i="209"/>
  <c r="O224" i="209"/>
  <c r="N224" i="209"/>
  <c r="K224" i="209"/>
  <c r="D224" i="209"/>
  <c r="O223" i="209"/>
  <c r="N223" i="209"/>
  <c r="K223" i="209"/>
  <c r="D223" i="209"/>
  <c r="O222" i="209"/>
  <c r="N222" i="209"/>
  <c r="K222" i="209"/>
  <c r="D222" i="209"/>
  <c r="O221" i="209"/>
  <c r="N221" i="209"/>
  <c r="K221" i="209"/>
  <c r="D221" i="209"/>
  <c r="O220" i="209"/>
  <c r="N220" i="209"/>
  <c r="K220" i="209"/>
  <c r="D220" i="209"/>
  <c r="O219" i="209"/>
  <c r="N219" i="209"/>
  <c r="K219" i="209"/>
  <c r="D219" i="209"/>
  <c r="O218" i="209"/>
  <c r="N218" i="209"/>
  <c r="K218" i="209"/>
  <c r="D218" i="209"/>
  <c r="O217" i="209"/>
  <c r="N217" i="209"/>
  <c r="K217" i="209"/>
  <c r="D217" i="209"/>
  <c r="O216" i="209"/>
  <c r="N216" i="209"/>
  <c r="K216" i="209"/>
  <c r="D216" i="209"/>
  <c r="O215" i="209"/>
  <c r="N215" i="209"/>
  <c r="K215" i="209"/>
  <c r="D215" i="209"/>
  <c r="O214" i="209"/>
  <c r="N214" i="209"/>
  <c r="K214" i="209"/>
  <c r="D214" i="209"/>
  <c r="O213" i="209"/>
  <c r="N213" i="209"/>
  <c r="K213" i="209"/>
  <c r="D213" i="209"/>
  <c r="O212" i="209"/>
  <c r="N212" i="209"/>
  <c r="K212" i="209"/>
  <c r="D212" i="209"/>
  <c r="O211" i="209"/>
  <c r="N211" i="209"/>
  <c r="K211" i="209"/>
  <c r="D211" i="209"/>
  <c r="O210" i="209"/>
  <c r="N210" i="209"/>
  <c r="K210" i="209"/>
  <c r="D210" i="209"/>
  <c r="O209" i="209"/>
  <c r="N209" i="209"/>
  <c r="K209" i="209"/>
  <c r="D209" i="209"/>
  <c r="O208" i="209"/>
  <c r="N208" i="209"/>
  <c r="K208" i="209"/>
  <c r="D208" i="209"/>
  <c r="O207" i="209"/>
  <c r="N207" i="209"/>
  <c r="K207" i="209"/>
  <c r="D207" i="209"/>
  <c r="O206" i="209"/>
  <c r="N206" i="209"/>
  <c r="K206" i="209"/>
  <c r="D206" i="209"/>
  <c r="O205" i="209"/>
  <c r="N205" i="209"/>
  <c r="K205" i="209"/>
  <c r="D205" i="209"/>
  <c r="O204" i="209"/>
  <c r="N204" i="209"/>
  <c r="K204" i="209"/>
  <c r="D204" i="209"/>
  <c r="O203" i="209"/>
  <c r="N203" i="209"/>
  <c r="K203" i="209"/>
  <c r="D203" i="209"/>
  <c r="O202" i="209"/>
  <c r="N202" i="209"/>
  <c r="K202" i="209"/>
  <c r="D202" i="209"/>
  <c r="O201" i="209"/>
  <c r="N201" i="209"/>
  <c r="K201" i="209"/>
  <c r="D201" i="209"/>
  <c r="O200" i="209"/>
  <c r="N200" i="209"/>
  <c r="K200" i="209"/>
  <c r="D200" i="209"/>
  <c r="O199" i="209"/>
  <c r="N199" i="209"/>
  <c r="K199" i="209"/>
  <c r="D199" i="209"/>
  <c r="O198" i="209"/>
  <c r="N198" i="209"/>
  <c r="K198" i="209"/>
  <c r="D198" i="209"/>
  <c r="O197" i="209"/>
  <c r="N197" i="209"/>
  <c r="K197" i="209"/>
  <c r="D197" i="209"/>
  <c r="O196" i="209"/>
  <c r="N196" i="209"/>
  <c r="K196" i="209"/>
  <c r="D196" i="209"/>
  <c r="O195" i="209"/>
  <c r="N195" i="209"/>
  <c r="K195" i="209"/>
  <c r="D195" i="209"/>
  <c r="O194" i="209"/>
  <c r="N194" i="209"/>
  <c r="K194" i="209"/>
  <c r="D194" i="209"/>
  <c r="O193" i="209"/>
  <c r="N193" i="209"/>
  <c r="K193" i="209"/>
  <c r="D193" i="209"/>
  <c r="O192" i="209"/>
  <c r="N192" i="209"/>
  <c r="K192" i="209"/>
  <c r="D192" i="209"/>
  <c r="O191" i="209"/>
  <c r="N191" i="209"/>
  <c r="K191" i="209"/>
  <c r="D191" i="209"/>
  <c r="O190" i="209"/>
  <c r="N190" i="209"/>
  <c r="K190" i="209"/>
  <c r="D190" i="209"/>
  <c r="O189" i="209"/>
  <c r="N189" i="209"/>
  <c r="K189" i="209"/>
  <c r="D189" i="209"/>
  <c r="O188" i="209"/>
  <c r="N188" i="209"/>
  <c r="K188" i="209"/>
  <c r="D188" i="209"/>
  <c r="O187" i="209"/>
  <c r="N187" i="209"/>
  <c r="K187" i="209"/>
  <c r="D187" i="209"/>
  <c r="O186" i="209"/>
  <c r="N186" i="209"/>
  <c r="K186" i="209"/>
  <c r="D186" i="209"/>
  <c r="O185" i="209"/>
  <c r="N185" i="209"/>
  <c r="K185" i="209"/>
  <c r="D185" i="209"/>
  <c r="O184" i="209"/>
  <c r="N184" i="209"/>
  <c r="K184" i="209"/>
  <c r="D184" i="209"/>
  <c r="O183" i="209"/>
  <c r="N183" i="209"/>
  <c r="K183" i="209"/>
  <c r="D183" i="209"/>
  <c r="O182" i="209"/>
  <c r="N182" i="209"/>
  <c r="K182" i="209"/>
  <c r="D182" i="209"/>
  <c r="O181" i="209"/>
  <c r="N181" i="209"/>
  <c r="K181" i="209"/>
  <c r="D181" i="209"/>
  <c r="O180" i="209"/>
  <c r="N180" i="209"/>
  <c r="K180" i="209"/>
  <c r="D180" i="209"/>
  <c r="O179" i="209"/>
  <c r="N179" i="209"/>
  <c r="D179" i="209"/>
  <c r="O178" i="209"/>
  <c r="N178" i="209"/>
  <c r="D178" i="209"/>
  <c r="O177" i="209"/>
  <c r="N177" i="209"/>
  <c r="D177" i="209"/>
  <c r="O176" i="209"/>
  <c r="N176" i="209"/>
  <c r="D176" i="209"/>
  <c r="O175" i="209"/>
  <c r="N175" i="209"/>
  <c r="K175" i="209"/>
  <c r="D175" i="209"/>
  <c r="O174" i="209"/>
  <c r="N174" i="209"/>
  <c r="D174" i="209"/>
  <c r="O173" i="209"/>
  <c r="N173" i="209"/>
  <c r="D173" i="209"/>
  <c r="O172" i="209"/>
  <c r="N172" i="209"/>
  <c r="D172" i="209"/>
  <c r="O171" i="209"/>
  <c r="N171" i="209"/>
  <c r="D171" i="209"/>
  <c r="O170" i="209"/>
  <c r="N170" i="209"/>
  <c r="D170" i="209"/>
  <c r="O169" i="209"/>
  <c r="N169" i="209"/>
  <c r="D169" i="209"/>
  <c r="O168" i="209"/>
  <c r="N168" i="209"/>
  <c r="K168" i="209"/>
  <c r="D168" i="209"/>
  <c r="O167" i="209"/>
  <c r="N167" i="209"/>
  <c r="D167" i="209"/>
  <c r="O166" i="209"/>
  <c r="N166" i="209"/>
  <c r="D166" i="209"/>
  <c r="O165" i="209"/>
  <c r="N165" i="209"/>
  <c r="D165" i="209"/>
  <c r="O164" i="209"/>
  <c r="N164" i="209"/>
  <c r="D164" i="209"/>
  <c r="O163" i="209"/>
  <c r="N163" i="209"/>
  <c r="D163" i="209"/>
  <c r="O162" i="209"/>
  <c r="N162" i="209"/>
  <c r="D162" i="209"/>
  <c r="O161" i="209"/>
  <c r="N161" i="209"/>
  <c r="D161" i="209"/>
  <c r="O160" i="209"/>
  <c r="N160" i="209"/>
  <c r="D160" i="209"/>
  <c r="O159" i="209"/>
  <c r="N159" i="209"/>
  <c r="O158" i="209"/>
  <c r="N158" i="209"/>
  <c r="O157" i="209"/>
  <c r="N157" i="209"/>
  <c r="K62" i="209" l="1"/>
  <c r="K80" i="209" l="1"/>
  <c r="K79" i="209"/>
  <c r="K78" i="209"/>
  <c r="K77" i="209"/>
  <c r="K76" i="209"/>
  <c r="K75" i="209"/>
  <c r="K74" i="209"/>
  <c r="K73" i="209"/>
  <c r="K72" i="209"/>
  <c r="K71" i="209" l="1"/>
  <c r="K70" i="209"/>
  <c r="K69" i="209"/>
  <c r="K68" i="209"/>
  <c r="K67" i="209"/>
  <c r="K66" i="209"/>
  <c r="K65" i="209"/>
  <c r="K64" i="209"/>
  <c r="K63" i="209"/>
  <c r="K61" i="209" l="1"/>
  <c r="K60" i="209"/>
  <c r="K59" i="209"/>
  <c r="K58" i="209"/>
  <c r="K57" i="209"/>
  <c r="K56" i="209"/>
  <c r="K55" i="209"/>
  <c r="K54" i="209"/>
  <c r="K53" i="209" l="1"/>
  <c r="K52" i="209"/>
  <c r="K51" i="209"/>
  <c r="K50" i="209"/>
  <c r="K49" i="209"/>
  <c r="K48" i="209"/>
  <c r="K47" i="209"/>
  <c r="K46" i="209"/>
  <c r="K45" i="209"/>
  <c r="K43" i="209"/>
  <c r="K42" i="209" l="1"/>
  <c r="K41" i="209"/>
  <c r="K40" i="209"/>
  <c r="K39" i="209"/>
  <c r="K38" i="209"/>
  <c r="K37" i="209"/>
  <c r="K36" i="209"/>
  <c r="K35" i="209"/>
  <c r="K34" i="209"/>
  <c r="K33" i="209"/>
  <c r="K32" i="209"/>
  <c r="K31" i="209"/>
  <c r="N113" i="209" l="1"/>
  <c r="N112" i="209"/>
  <c r="N111" i="209"/>
  <c r="N110" i="209"/>
  <c r="N109" i="209"/>
  <c r="N108" i="209"/>
  <c r="N107" i="209"/>
  <c r="N106" i="209"/>
  <c r="N105" i="209"/>
  <c r="N104" i="209"/>
  <c r="N103" i="209"/>
  <c r="N102" i="209"/>
  <c r="N101" i="209"/>
  <c r="N100" i="209"/>
  <c r="N99" i="209"/>
  <c r="N98" i="209"/>
  <c r="N97" i="209"/>
  <c r="N96" i="209"/>
  <c r="N95" i="209"/>
  <c r="N94" i="209"/>
  <c r="N93" i="209"/>
  <c r="N92" i="209"/>
  <c r="N91" i="209"/>
  <c r="N90" i="209"/>
  <c r="N89" i="209"/>
  <c r="N88" i="209"/>
  <c r="N87" i="209"/>
  <c r="N86" i="209"/>
  <c r="N85" i="209"/>
  <c r="N84" i="209"/>
  <c r="N83" i="209"/>
  <c r="N82" i="209"/>
  <c r="N81" i="209"/>
  <c r="N80" i="209"/>
  <c r="N79" i="209"/>
  <c r="N78" i="209"/>
  <c r="N77" i="209"/>
  <c r="N76" i="209"/>
  <c r="N75" i="209"/>
  <c r="N74" i="209"/>
  <c r="N73" i="209"/>
  <c r="N72" i="209"/>
  <c r="N71" i="209"/>
  <c r="N70" i="209"/>
  <c r="N69" i="209"/>
  <c r="N68" i="209"/>
  <c r="N67" i="209"/>
  <c r="N66" i="209"/>
  <c r="N65" i="209"/>
  <c r="N64" i="209"/>
  <c r="N63" i="209"/>
  <c r="N62" i="209"/>
  <c r="N61" i="209"/>
  <c r="N60" i="209"/>
  <c r="N59" i="209"/>
  <c r="N58" i="209"/>
  <c r="N57" i="209"/>
  <c r="N56" i="209"/>
  <c r="N55" i="209"/>
  <c r="N54" i="209"/>
  <c r="N53" i="209"/>
  <c r="N52" i="209"/>
  <c r="N51" i="209"/>
  <c r="N50" i="209"/>
  <c r="N49" i="209"/>
  <c r="N48" i="209"/>
  <c r="N47" i="209"/>
  <c r="N46" i="209"/>
  <c r="N45" i="209"/>
  <c r="N38" i="209"/>
  <c r="K30" i="209"/>
  <c r="K29" i="209"/>
  <c r="K28" i="209"/>
  <c r="K26" i="209"/>
  <c r="K25" i="209"/>
  <c r="K24" i="209"/>
  <c r="K23" i="209"/>
  <c r="K22" i="209"/>
  <c r="K21" i="209"/>
  <c r="K20" i="209"/>
  <c r="K19" i="209"/>
  <c r="K17" i="209" l="1"/>
  <c r="K16" i="209"/>
  <c r="K15" i="209"/>
  <c r="K14" i="209"/>
  <c r="K13" i="209"/>
  <c r="K12" i="209"/>
  <c r="K11" i="209"/>
  <c r="K10" i="209"/>
  <c r="K9" i="209"/>
  <c r="K8" i="209"/>
  <c r="K7" i="209"/>
  <c r="K6" i="209"/>
  <c r="K4" i="209" l="1"/>
  <c r="K3" i="209"/>
  <c r="K111" i="209" l="1"/>
  <c r="K110" i="209" l="1"/>
  <c r="O99" i="209" l="1"/>
  <c r="D99" i="209"/>
  <c r="O98" i="209"/>
  <c r="D98" i="209"/>
  <c r="O97" i="209"/>
  <c r="D97" i="209"/>
  <c r="O96" i="209"/>
  <c r="D96" i="209"/>
  <c r="O101" i="209"/>
  <c r="D101" i="209"/>
  <c r="O100" i="209"/>
  <c r="D100" i="209"/>
  <c r="K92" i="209" l="1"/>
  <c r="K81" i="209" l="1"/>
  <c r="D30" i="209" l="1"/>
  <c r="D29" i="209"/>
  <c r="D28" i="209"/>
  <c r="K27" i="209"/>
  <c r="D27" i="209"/>
  <c r="K18" i="209" l="1"/>
  <c r="K5" i="209" l="1"/>
  <c r="O156" i="209" l="1"/>
  <c r="N156" i="209"/>
  <c r="O155" i="209"/>
  <c r="N155" i="209"/>
  <c r="O154" i="209"/>
  <c r="N154" i="209"/>
  <c r="O153" i="209"/>
  <c r="N153" i="209"/>
  <c r="O152" i="209"/>
  <c r="N152" i="209"/>
  <c r="O151" i="209"/>
  <c r="N151" i="209"/>
  <c r="K151" i="209"/>
  <c r="D151" i="209"/>
  <c r="O150" i="209"/>
  <c r="N150" i="209"/>
  <c r="D150" i="209"/>
  <c r="O149" i="209"/>
  <c r="N149" i="209"/>
  <c r="D149" i="209"/>
  <c r="O148" i="209"/>
  <c r="N148" i="209"/>
  <c r="D148" i="209"/>
  <c r="O147" i="209"/>
  <c r="N147" i="209"/>
  <c r="D147" i="209"/>
  <c r="O146" i="209"/>
  <c r="N146" i="209"/>
  <c r="D146" i="209"/>
  <c r="O145" i="209"/>
  <c r="N145" i="209"/>
  <c r="D145" i="209"/>
  <c r="O144" i="209"/>
  <c r="N144" i="209"/>
  <c r="D144" i="209"/>
  <c r="O143" i="209"/>
  <c r="N143" i="209"/>
  <c r="D143" i="209"/>
  <c r="O142" i="209"/>
  <c r="N142" i="209"/>
  <c r="D142" i="209"/>
  <c r="O141" i="209"/>
  <c r="N141" i="209"/>
  <c r="K141" i="209"/>
  <c r="D141" i="209"/>
  <c r="O140" i="209"/>
  <c r="N140" i="209"/>
  <c r="D140" i="209"/>
  <c r="O139" i="209"/>
  <c r="N139" i="209"/>
  <c r="D139" i="209"/>
  <c r="O138" i="209"/>
  <c r="N138" i="209"/>
  <c r="D138" i="209"/>
  <c r="O137" i="209"/>
  <c r="N137" i="209"/>
  <c r="D137" i="209"/>
  <c r="O136" i="209"/>
  <c r="N136" i="209"/>
  <c r="D136" i="209"/>
  <c r="O135" i="209"/>
  <c r="N135" i="209"/>
  <c r="D135" i="209"/>
  <c r="O134" i="209"/>
  <c r="N134" i="209"/>
  <c r="D134" i="209"/>
  <c r="O133" i="209"/>
  <c r="N133" i="209"/>
  <c r="D133" i="209"/>
  <c r="O132" i="209"/>
  <c r="N132" i="209"/>
  <c r="D132" i="209"/>
  <c r="O131" i="209"/>
  <c r="N131" i="209"/>
  <c r="D131" i="209"/>
  <c r="O130" i="209"/>
  <c r="N130" i="209"/>
  <c r="O129" i="209"/>
  <c r="N129" i="209"/>
  <c r="O128" i="209"/>
  <c r="N128" i="209"/>
  <c r="O127" i="209"/>
  <c r="N127" i="209"/>
  <c r="O126" i="209"/>
  <c r="N126" i="209"/>
  <c r="O125" i="209"/>
  <c r="N125" i="209"/>
  <c r="O124" i="209"/>
  <c r="N124" i="209"/>
  <c r="O123" i="209"/>
  <c r="N123" i="209"/>
  <c r="D123" i="209"/>
  <c r="O122" i="209"/>
  <c r="N122" i="209"/>
  <c r="D122" i="209"/>
  <c r="O121" i="209"/>
  <c r="N121" i="209"/>
  <c r="D121" i="209"/>
  <c r="O120" i="209"/>
  <c r="N120" i="209"/>
  <c r="D120" i="209"/>
  <c r="O119" i="209"/>
  <c r="N119" i="209"/>
  <c r="D119" i="209"/>
  <c r="O118" i="209"/>
  <c r="N118" i="209"/>
  <c r="D118" i="209"/>
  <c r="O117" i="209"/>
  <c r="N117" i="209"/>
  <c r="D117" i="209"/>
  <c r="O116" i="209"/>
  <c r="N116" i="209"/>
  <c r="D116" i="209"/>
  <c r="O115" i="209"/>
  <c r="N115" i="209"/>
  <c r="D115" i="209"/>
  <c r="O114" i="209"/>
  <c r="N114" i="209"/>
  <c r="D114" i="209"/>
  <c r="O113" i="209"/>
  <c r="D113" i="209"/>
  <c r="O112" i="209"/>
  <c r="O111" i="209"/>
  <c r="O110" i="209"/>
  <c r="O109" i="209"/>
  <c r="D109" i="209"/>
  <c r="O108" i="209"/>
  <c r="D108" i="209"/>
  <c r="O107" i="209"/>
  <c r="D107" i="209"/>
  <c r="O106" i="209"/>
  <c r="D106" i="209"/>
  <c r="O105" i="209"/>
  <c r="D105" i="209"/>
  <c r="O104" i="209"/>
  <c r="D104" i="209"/>
  <c r="O103" i="209"/>
  <c r="D103" i="209"/>
  <c r="O102" i="209"/>
  <c r="D102" i="209"/>
  <c r="O95" i="209"/>
  <c r="D95" i="209"/>
  <c r="O94" i="209"/>
  <c r="D94" i="209"/>
  <c r="O93" i="209"/>
  <c r="D93" i="209"/>
  <c r="O92" i="209"/>
  <c r="D92" i="209"/>
  <c r="O91" i="209"/>
  <c r="O90" i="209"/>
  <c r="D90" i="209"/>
  <c r="O89" i="209"/>
  <c r="D89" i="209"/>
  <c r="O88" i="209"/>
  <c r="D88" i="209"/>
  <c r="O87" i="209"/>
  <c r="D87" i="209"/>
  <c r="O86" i="209"/>
  <c r="D86" i="209"/>
  <c r="O85" i="209"/>
  <c r="D85" i="209"/>
  <c r="O84" i="209"/>
  <c r="D84" i="209"/>
  <c r="O83" i="209"/>
  <c r="D83" i="209"/>
  <c r="O82" i="209"/>
  <c r="D82" i="209"/>
  <c r="O81" i="209"/>
  <c r="D81" i="209"/>
  <c r="O80" i="209"/>
  <c r="D80" i="209"/>
  <c r="O79" i="209"/>
  <c r="D79" i="209"/>
  <c r="O78" i="209"/>
  <c r="D78" i="209"/>
  <c r="O77" i="209"/>
  <c r="D77" i="209"/>
  <c r="O76" i="209"/>
  <c r="D76" i="209"/>
  <c r="O75" i="209"/>
  <c r="D75" i="209"/>
  <c r="O74" i="209"/>
  <c r="D74" i="209"/>
  <c r="O73" i="209"/>
  <c r="D73" i="209"/>
  <c r="O72" i="209"/>
  <c r="D72" i="209"/>
  <c r="O71" i="209"/>
  <c r="D71" i="209"/>
  <c r="O70" i="209"/>
  <c r="D70" i="209"/>
  <c r="O69" i="209"/>
  <c r="D69" i="209"/>
  <c r="O68" i="209"/>
  <c r="D68" i="209"/>
  <c r="O67" i="209"/>
  <c r="D67" i="209"/>
  <c r="O66" i="209"/>
  <c r="D66" i="209"/>
  <c r="O65" i="209"/>
  <c r="D65" i="209"/>
  <c r="O64" i="209"/>
  <c r="D64" i="209"/>
  <c r="O63" i="209"/>
  <c r="D63" i="209"/>
  <c r="O62" i="209"/>
  <c r="D62" i="209"/>
  <c r="O61" i="209"/>
  <c r="D61" i="209"/>
  <c r="O60" i="209"/>
  <c r="D60" i="209"/>
  <c r="O59" i="209"/>
  <c r="D59" i="209"/>
  <c r="O58" i="209"/>
  <c r="D58" i="209"/>
  <c r="O57" i="209"/>
  <c r="D57" i="209"/>
  <c r="O56" i="209"/>
  <c r="D56" i="209"/>
  <c r="O55" i="209"/>
  <c r="D55" i="209"/>
  <c r="O54" i="209"/>
  <c r="D54" i="209"/>
  <c r="O53" i="209"/>
  <c r="D53" i="209"/>
  <c r="O52" i="209"/>
  <c r="D52" i="209"/>
  <c r="O51" i="209"/>
  <c r="D51" i="209"/>
  <c r="O50" i="209"/>
  <c r="D50" i="209"/>
  <c r="O49" i="209"/>
  <c r="D49" i="209"/>
  <c r="O48" i="209"/>
  <c r="D48" i="209"/>
  <c r="O47" i="209"/>
  <c r="D47" i="209"/>
  <c r="O46" i="209"/>
  <c r="D46" i="209"/>
  <c r="O44" i="209"/>
  <c r="N44" i="209"/>
  <c r="D44" i="209"/>
  <c r="O43" i="209"/>
  <c r="N43" i="209"/>
  <c r="D43" i="209"/>
  <c r="O45" i="209"/>
  <c r="D45" i="209"/>
  <c r="O42" i="209"/>
  <c r="N42" i="209"/>
  <c r="D42" i="209"/>
  <c r="O41" i="209"/>
  <c r="N41" i="209"/>
  <c r="D41" i="209"/>
  <c r="O40" i="209"/>
  <c r="N40" i="209"/>
  <c r="D40" i="209"/>
  <c r="O39" i="209"/>
  <c r="N39" i="209"/>
  <c r="D39" i="209"/>
  <c r="O38" i="209"/>
  <c r="D38" i="209"/>
  <c r="O37" i="209"/>
  <c r="N37" i="209"/>
  <c r="D37" i="209"/>
  <c r="O36" i="209"/>
  <c r="N36" i="209"/>
  <c r="D36" i="209"/>
  <c r="O35" i="209"/>
  <c r="N35" i="209"/>
  <c r="D35" i="209"/>
  <c r="O34" i="209"/>
  <c r="N34" i="209"/>
  <c r="D34" i="209"/>
  <c r="O33" i="209"/>
  <c r="N33" i="209"/>
  <c r="D33" i="209"/>
  <c r="O32" i="209"/>
  <c r="N32" i="209"/>
  <c r="D32" i="209"/>
  <c r="O31" i="209"/>
  <c r="N31" i="209"/>
  <c r="D31" i="209"/>
  <c r="O30" i="209"/>
  <c r="N30" i="209"/>
  <c r="O29" i="209"/>
  <c r="N29" i="209"/>
  <c r="O28" i="209"/>
  <c r="N28" i="209"/>
  <c r="O27" i="209"/>
  <c r="N27" i="209"/>
  <c r="O26" i="209"/>
  <c r="N26" i="209"/>
  <c r="D26" i="209"/>
  <c r="O25" i="209"/>
  <c r="N25" i="209"/>
  <c r="D25" i="209"/>
  <c r="O24" i="209"/>
  <c r="N24" i="209"/>
  <c r="D24" i="209"/>
  <c r="O23" i="209"/>
  <c r="N23" i="209"/>
  <c r="D23" i="209"/>
  <c r="O22" i="209"/>
  <c r="N22" i="209"/>
  <c r="D22" i="209"/>
  <c r="O21" i="209"/>
  <c r="N21" i="209"/>
  <c r="D21" i="209"/>
  <c r="O20" i="209"/>
  <c r="N20" i="209"/>
  <c r="D20" i="209"/>
  <c r="O19" i="209"/>
  <c r="N19" i="209"/>
  <c r="D19" i="209"/>
  <c r="O18" i="209"/>
  <c r="N18" i="209"/>
  <c r="D18" i="209"/>
  <c r="O17" i="209"/>
  <c r="N17" i="209"/>
  <c r="D17" i="209"/>
  <c r="O16" i="209"/>
  <c r="N16" i="209"/>
  <c r="D16" i="209"/>
  <c r="O15" i="209"/>
  <c r="N15" i="209"/>
  <c r="D15" i="209"/>
  <c r="O14" i="209"/>
  <c r="N14" i="209"/>
  <c r="D14" i="209"/>
  <c r="O13" i="209"/>
  <c r="N13" i="209"/>
  <c r="D13" i="209"/>
  <c r="O12" i="209"/>
  <c r="N12" i="209"/>
  <c r="D12" i="209"/>
  <c r="O11" i="209"/>
  <c r="N11" i="209"/>
  <c r="D11" i="209"/>
  <c r="O10" i="209"/>
  <c r="N10" i="209"/>
  <c r="D10" i="209"/>
  <c r="O9" i="209"/>
  <c r="N9" i="209"/>
  <c r="D9" i="209"/>
  <c r="O8" i="209"/>
  <c r="N8" i="209"/>
  <c r="D8" i="209"/>
  <c r="O7" i="209"/>
  <c r="N7" i="209"/>
  <c r="D7" i="209"/>
  <c r="O6" i="209"/>
  <c r="N6" i="209"/>
  <c r="D6" i="209"/>
  <c r="O5" i="209"/>
  <c r="N5" i="209"/>
  <c r="D5" i="209"/>
  <c r="O4" i="209"/>
  <c r="N4" i="209"/>
  <c r="D4" i="209"/>
  <c r="O3" i="209"/>
  <c r="N3" i="209"/>
  <c r="D3" i="20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11319 森 逸充</author>
  </authors>
  <commentList>
    <comment ref="B1" authorId="0" shapeId="0" xr:uid="{00000000-0006-0000-0300-000001000000}">
      <text>
        <r>
          <rPr>
            <sz val="9"/>
            <color indexed="81"/>
            <rFont val="ＭＳ Ｐゴシック"/>
            <family val="3"/>
            <charset val="128"/>
          </rPr>
          <t xml:space="preserve">日報システムのログイン名を入力
</t>
        </r>
      </text>
    </comment>
    <comment ref="D1" authorId="0" shapeId="0" xr:uid="{00000000-0006-0000-0300-000002000000}">
      <text>
        <r>
          <rPr>
            <sz val="9"/>
            <color indexed="81"/>
            <rFont val="ＭＳ Ｐゴシック"/>
            <family val="3"/>
            <charset val="128"/>
          </rPr>
          <t xml:space="preserve">日報システムのパスワードを入力
</t>
        </r>
      </text>
    </comment>
    <comment ref="G1" authorId="0" shapeId="0" xr:uid="{00000000-0006-0000-0300-000003000000}">
      <text>
        <r>
          <rPr>
            <sz val="9"/>
            <color indexed="81"/>
            <rFont val="ＭＳ Ｐゴシック"/>
            <family val="3"/>
            <charset val="128"/>
          </rPr>
          <t>0:処理後IEを閉じる
1:処理後IEを閉じない</t>
        </r>
      </text>
    </comment>
    <comment ref="I1" authorId="0" shapeId="0" xr:uid="{00000000-0006-0000-0300-000004000000}">
      <text>
        <r>
          <rPr>
            <sz val="9"/>
            <color indexed="81"/>
            <rFont val="ＭＳ Ｐゴシック"/>
            <family val="3"/>
            <charset val="128"/>
          </rPr>
          <t xml:space="preserve">0：待ち小
1：待ち大
</t>
        </r>
      </text>
    </comment>
  </commentList>
</comments>
</file>

<file path=xl/sharedStrings.xml><?xml version="1.0" encoding="utf-8"?>
<sst xmlns="http://schemas.openxmlformats.org/spreadsheetml/2006/main" count="116" uniqueCount="98">
  <si>
    <t>プロジェクト</t>
    <phoneticPr fontId="6"/>
  </si>
  <si>
    <t>コード</t>
    <phoneticPr fontId="6"/>
  </si>
  <si>
    <t>日付</t>
    <rPh sb="0" eb="2">
      <t>ヒヅケ</t>
    </rPh>
    <phoneticPr fontId="6"/>
  </si>
  <si>
    <t>市町村</t>
    <rPh sb="0" eb="3">
      <t>シチョウソン</t>
    </rPh>
    <phoneticPr fontId="6"/>
  </si>
  <si>
    <t>コード</t>
    <phoneticPr fontId="6"/>
  </si>
  <si>
    <t>プロジェクト名</t>
    <rPh sb="6" eb="7">
      <t>メイ</t>
    </rPh>
    <phoneticPr fontId="6"/>
  </si>
  <si>
    <t>プロジェクト略称</t>
    <rPh sb="6" eb="8">
      <t>リャクショウ</t>
    </rPh>
    <phoneticPr fontId="6"/>
  </si>
  <si>
    <t>担当課</t>
    <rPh sb="0" eb="3">
      <t>タントウカ</t>
    </rPh>
    <phoneticPr fontId="6"/>
  </si>
  <si>
    <t>※ここを参考に日報に入力</t>
    <rPh sb="4" eb="6">
      <t>サンコウ</t>
    </rPh>
    <rPh sb="7" eb="9">
      <t>ニッポウ</t>
    </rPh>
    <rPh sb="10" eb="12">
      <t>ニュウリョク</t>
    </rPh>
    <phoneticPr fontId="6"/>
  </si>
  <si>
    <t>備考欄</t>
    <rPh sb="0" eb="2">
      <t>ビコウ</t>
    </rPh>
    <rPh sb="2" eb="3">
      <t>ラン</t>
    </rPh>
    <phoneticPr fontId="6"/>
  </si>
  <si>
    <t>工程</t>
    <rPh sb="0" eb="2">
      <t>コウテイ</t>
    </rPh>
    <phoneticPr fontId="6"/>
  </si>
  <si>
    <t>業務</t>
    <rPh sb="0" eb="2">
      <t>ギョウム</t>
    </rPh>
    <phoneticPr fontId="6"/>
  </si>
  <si>
    <t>②担当課担当者</t>
    <rPh sb="1" eb="4">
      <t>タントウカ</t>
    </rPh>
    <rPh sb="4" eb="7">
      <t>タントウシャ</t>
    </rPh>
    <phoneticPr fontId="6"/>
  </si>
  <si>
    <t>-</t>
    <phoneticPr fontId="6"/>
  </si>
  <si>
    <t>人日</t>
    <rPh sb="0" eb="2">
      <t>ニンニチ</t>
    </rPh>
    <phoneticPr fontId="6"/>
  </si>
  <si>
    <t>ID</t>
    <phoneticPr fontId="6"/>
  </si>
  <si>
    <t>定時</t>
    <rPh sb="0" eb="2">
      <t>テイジ</t>
    </rPh>
    <phoneticPr fontId="6"/>
  </si>
  <si>
    <t>残業</t>
    <rPh sb="0" eb="2">
      <t>ザンギョウ</t>
    </rPh>
    <phoneticPr fontId="6"/>
  </si>
  <si>
    <t>PA</t>
    <phoneticPr fontId="6"/>
  </si>
  <si>
    <t>閉PARA</t>
    <rPh sb="0" eb="1">
      <t>ト</t>
    </rPh>
    <phoneticPr fontId="6"/>
  </si>
  <si>
    <t>遅延PARA</t>
    <rPh sb="0" eb="2">
      <t>チエン</t>
    </rPh>
    <phoneticPr fontId="6"/>
  </si>
  <si>
    <t>完了</t>
    <rPh sb="0" eb="2">
      <t>カンリョウ</t>
    </rPh>
    <phoneticPr fontId="6"/>
  </si>
  <si>
    <t>登録済</t>
    <rPh sb="0" eb="2">
      <t>トウロク</t>
    </rPh>
    <rPh sb="2" eb="3">
      <t>ズ</t>
    </rPh>
    <phoneticPr fontId="6"/>
  </si>
  <si>
    <t>～１７：３０</t>
    <phoneticPr fontId="6"/>
  </si>
  <si>
    <t>～１８：００</t>
    <phoneticPr fontId="6"/>
  </si>
  <si>
    <t>～１８：３０</t>
    <phoneticPr fontId="6"/>
  </si>
  <si>
    <t>～１９：００</t>
    <phoneticPr fontId="6"/>
  </si>
  <si>
    <t>～１９：３０</t>
    <phoneticPr fontId="6"/>
  </si>
  <si>
    <t>～２０：３０</t>
    <phoneticPr fontId="6"/>
  </si>
  <si>
    <t>～２１：００</t>
    <phoneticPr fontId="6"/>
  </si>
  <si>
    <t>～２１：３０</t>
    <phoneticPr fontId="6"/>
  </si>
  <si>
    <t>～２２：００</t>
    <phoneticPr fontId="6"/>
  </si>
  <si>
    <t>～２２：３０</t>
    <phoneticPr fontId="6"/>
  </si>
  <si>
    <t>～２３：３０</t>
    <phoneticPr fontId="6"/>
  </si>
  <si>
    <t>～２４：００</t>
    <phoneticPr fontId="6"/>
  </si>
  <si>
    <t>～２４：３０</t>
    <phoneticPr fontId="6"/>
  </si>
  <si>
    <t>～２５：００</t>
    <phoneticPr fontId="6"/>
  </si>
  <si>
    <t>社員コード</t>
    <rPh sb="0" eb="2">
      <t>シャイン</t>
    </rPh>
    <phoneticPr fontId="6"/>
  </si>
  <si>
    <t>休暇区分は手動にてメンテしてください</t>
    <rPh sb="0" eb="2">
      <t>キュウカ</t>
    </rPh>
    <rPh sb="2" eb="4">
      <t>クブン</t>
    </rPh>
    <rPh sb="5" eb="7">
      <t>シュドウ</t>
    </rPh>
    <phoneticPr fontId="28"/>
  </si>
  <si>
    <t>CSV作成フォルダ</t>
    <rPh sb="3" eb="5">
      <t>サクセイ</t>
    </rPh>
    <phoneticPr fontId="28"/>
  </si>
  <si>
    <t>ファイル区分
(1固定)</t>
    <rPh sb="4" eb="6">
      <t>クブン</t>
    </rPh>
    <rPh sb="9" eb="11">
      <t>コテイ</t>
    </rPh>
    <phoneticPr fontId="6"/>
  </si>
  <si>
    <t>休暇区分</t>
    <rPh sb="0" eb="2">
      <t>キュウカ</t>
    </rPh>
    <rPh sb="2" eb="4">
      <t>クブン</t>
    </rPh>
    <phoneticPr fontId="6"/>
  </si>
  <si>
    <t>ファイル区分
(2固定)</t>
    <rPh sb="9" eb="11">
      <t>コテイ</t>
    </rPh>
    <phoneticPr fontId="28"/>
  </si>
  <si>
    <t>行NO</t>
    <rPh sb="0" eb="1">
      <t>ギョウ</t>
    </rPh>
    <phoneticPr fontId="6"/>
  </si>
  <si>
    <t>プロジェクトNO</t>
    <phoneticPr fontId="6"/>
  </si>
  <si>
    <t>行程コード</t>
    <rPh sb="0" eb="2">
      <t>コウテイ</t>
    </rPh>
    <phoneticPr fontId="6"/>
  </si>
  <si>
    <t>作業区分</t>
    <rPh sb="0" eb="2">
      <t>サギョウ</t>
    </rPh>
    <rPh sb="2" eb="4">
      <t>クブン</t>
    </rPh>
    <phoneticPr fontId="6"/>
  </si>
  <si>
    <t>所定内時間</t>
    <rPh sb="0" eb="3">
      <t>ショテイナイ</t>
    </rPh>
    <rPh sb="3" eb="5">
      <t>ジカン</t>
    </rPh>
    <phoneticPr fontId="6"/>
  </si>
  <si>
    <t>所定外時間</t>
    <rPh sb="0" eb="2">
      <t>ショテイ</t>
    </rPh>
    <rPh sb="2" eb="3">
      <t>ガイ</t>
    </rPh>
    <rPh sb="3" eb="5">
      <t>ジカン</t>
    </rPh>
    <phoneticPr fontId="6"/>
  </si>
  <si>
    <t>開発区分</t>
    <rPh sb="0" eb="2">
      <t>カイハツ</t>
    </rPh>
    <rPh sb="2" eb="4">
      <t>クブン</t>
    </rPh>
    <phoneticPr fontId="6"/>
  </si>
  <si>
    <t>パターンコード</t>
    <phoneticPr fontId="6"/>
  </si>
  <si>
    <t>ステップ数</t>
    <rPh sb="4" eb="5">
      <t>スウ</t>
    </rPh>
    <phoneticPr fontId="6"/>
  </si>
  <si>
    <t>備考</t>
    <rPh sb="0" eb="2">
      <t>ビコウ</t>
    </rPh>
    <phoneticPr fontId="6"/>
  </si>
  <si>
    <t>見積補足№</t>
    <rPh sb="0" eb="2">
      <t>ミツモリ</t>
    </rPh>
    <rPh sb="2" eb="4">
      <t>ホソク</t>
    </rPh>
    <phoneticPr fontId="6"/>
  </si>
  <si>
    <t>*</t>
  </si>
  <si>
    <t>～２５：３０</t>
    <phoneticPr fontId="6"/>
  </si>
  <si>
    <t>不稼働</t>
    <rPh sb="0" eb="3">
      <t>フカドウ</t>
    </rPh>
    <phoneticPr fontId="6"/>
  </si>
  <si>
    <t>不稼働</t>
    <rPh sb="0" eb="3">
      <t>フカドウ</t>
    </rPh>
    <phoneticPr fontId="6"/>
  </si>
  <si>
    <t>不稼働　ソリューションサービスGr</t>
    <rPh sb="0" eb="3">
      <t>フカドウ</t>
    </rPh>
    <phoneticPr fontId="17"/>
  </si>
  <si>
    <t>889</t>
    <phoneticPr fontId="6"/>
  </si>
  <si>
    <t>C:\temp\</t>
    <phoneticPr fontId="28"/>
  </si>
  <si>
    <t>作業内容</t>
    <rPh sb="0" eb="2">
      <t>サギョウ</t>
    </rPh>
    <rPh sb="2" eb="4">
      <t>ナイヨウ</t>
    </rPh>
    <phoneticPr fontId="6"/>
  </si>
  <si>
    <t>パターン</t>
    <phoneticPr fontId="6"/>
  </si>
  <si>
    <t>パターンコード</t>
    <phoneticPr fontId="6"/>
  </si>
  <si>
    <t>神戸市</t>
    <rPh sb="0" eb="3">
      <t>コウベシ</t>
    </rPh>
    <phoneticPr fontId="6"/>
  </si>
  <si>
    <t>-</t>
    <phoneticPr fontId="6"/>
  </si>
  <si>
    <t>神戸市構築業務</t>
    <rPh sb="0" eb="3">
      <t>コウベシ</t>
    </rPh>
    <rPh sb="3" eb="7">
      <t>コウチクギョウム</t>
    </rPh>
    <phoneticPr fontId="6"/>
  </si>
  <si>
    <t>oec1596</t>
    <phoneticPr fontId="6"/>
  </si>
  <si>
    <t>コード区分</t>
  </si>
  <si>
    <t>名称</t>
  </si>
  <si>
    <t>分析・基本設計</t>
  </si>
  <si>
    <t>詳細設計</t>
  </si>
  <si>
    <t>ﾌﾟﾛｸﾞﾗﾑ設計</t>
  </si>
  <si>
    <t>ﾌﾟﾛｸﾞﾗﾑ開発</t>
  </si>
  <si>
    <t>ﾌﾟﾛｸﾞﾗﾑ検証</t>
  </si>
  <si>
    <t>結合テスト</t>
  </si>
  <si>
    <t>ｼｽﾃﾑﾃｽﾄ</t>
  </si>
  <si>
    <t>ﾄﾞｷｭﾒﾝﾄ作成</t>
  </si>
  <si>
    <t>導入支援</t>
  </si>
  <si>
    <t>管理その他</t>
  </si>
  <si>
    <t>PTF</t>
  </si>
  <si>
    <t>問合せ・依頼</t>
  </si>
  <si>
    <t>軽微な仕様変更</t>
  </si>
  <si>
    <t>会議</t>
  </si>
  <si>
    <t>立合・事前ﾘﾊｰｻﾙ</t>
  </si>
  <si>
    <t>自部門障害対応作業</t>
  </si>
  <si>
    <t>PKG障害対応作業</t>
  </si>
  <si>
    <t>特種作業</t>
  </si>
  <si>
    <t>月次報告</t>
  </si>
  <si>
    <t>運用その他</t>
  </si>
  <si>
    <t>既存ユーザ対応</t>
  </si>
  <si>
    <t>営業支援</t>
  </si>
  <si>
    <t>教育・研修</t>
  </si>
  <si>
    <t>会議(部会議など）</t>
  </si>
  <si>
    <t>有休</t>
  </si>
  <si>
    <t>マネジメント活動</t>
  </si>
  <si>
    <t>社内研修</t>
  </si>
  <si>
    <t>その他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</si>
</sst>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m&quot;月&quot;d&quot;日&quot;;@"/>
    <numFmt numFmtId="177" formatCode="d&quot;¥&quot;&quot;¥&quot;\.mmm&quot;¥&quot;&quot;¥&quot;\.yy"/>
    <numFmt numFmtId="178" formatCode="#,##0;\-#,##0;&quot;-&quot;"/>
    <numFmt numFmtId="179" formatCode="0.0_);[Red]\(0.0\)"/>
    <numFmt numFmtId="180" formatCode="0.0_ "/>
  </numFmts>
  <fonts count="36"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sz val="8"/>
      <name val="ＭＳ ゴシック"/>
      <family val="3"/>
      <charset val="128"/>
    </font>
    <font>
      <sz val="11"/>
      <name val="ＭＳ Ｐゴシック"/>
      <family val="3"/>
      <charset val="128"/>
    </font>
    <font>
      <sz val="8"/>
      <name val="ＭＳ Ｐゴシック"/>
      <family val="3"/>
      <charset val="128"/>
    </font>
    <font>
      <sz val="8"/>
      <name val="Times New Roman"/>
      <family val="1"/>
    </font>
    <font>
      <sz val="10"/>
      <color indexed="8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4"/>
      <name val="ＭＳ 明朝"/>
      <family val="1"/>
      <charset val="128"/>
    </font>
    <font>
      <sz val="11"/>
      <name val="ＭＳ ゴシック"/>
      <family val="3"/>
      <charset val="128"/>
    </font>
    <font>
      <sz val="11"/>
      <color indexed="8"/>
      <name val="ＭＳ Ｐゴシック"/>
      <family val="3"/>
      <charset val="128"/>
    </font>
    <font>
      <sz val="6"/>
      <name val="・団"/>
      <family val="3"/>
      <charset val="128"/>
    </font>
    <font>
      <sz val="11"/>
      <name val="ＭＳ 明朝"/>
      <family val="1"/>
      <charset val="128"/>
    </font>
    <font>
      <sz val="11"/>
      <name val="明朝"/>
      <family val="1"/>
      <charset val="128"/>
    </font>
    <font>
      <sz val="11"/>
      <color theme="1"/>
      <name val="ＭＳ Ｐゴシック"/>
      <family val="3"/>
      <charset val="128"/>
      <scheme val="minor"/>
    </font>
    <font>
      <sz val="9"/>
      <color indexed="81"/>
      <name val="ＭＳ Ｐゴシック"/>
      <family val="3"/>
      <charset val="128"/>
    </font>
    <font>
      <sz val="11"/>
      <color theme="1"/>
      <name val="ＭＳ Ｐゴシック"/>
      <family val="2"/>
      <charset val="128"/>
    </font>
    <font>
      <sz val="11"/>
      <color theme="1"/>
      <name val="ＭＳ Ｐゴシック"/>
      <family val="2"/>
      <scheme val="minor"/>
    </font>
    <font>
      <sz val="10"/>
      <name val="ＭＳ Ｐゴシック"/>
      <family val="3"/>
      <charset val="128"/>
    </font>
    <font>
      <sz val="10"/>
      <name val="ＭＳ ゴシック"/>
      <family val="3"/>
      <charset val="128"/>
    </font>
    <font>
      <sz val="10"/>
      <color rgb="FFFF0000"/>
      <name val="ＭＳ Ｐゴシック"/>
      <family val="3"/>
      <charset val="128"/>
    </font>
    <font>
      <b/>
      <sz val="11"/>
      <color indexed="10"/>
      <name val="明朝"/>
      <family val="1"/>
      <charset val="128"/>
    </font>
    <font>
      <sz val="6"/>
      <name val="明朝"/>
      <family val="1"/>
      <charset val="128"/>
    </font>
    <font>
      <sz val="10"/>
      <name val="明朝"/>
      <family val="1"/>
      <charset val="128"/>
    </font>
    <font>
      <sz val="11"/>
      <color rgb="FF000000"/>
      <name val="ＭＳ Ｐゴシック"/>
      <family val="3"/>
      <charset val="128"/>
    </font>
    <font>
      <i/>
      <sz val="11"/>
      <color rgb="FFFF0000"/>
      <name val="ＭＳ Ｐゴシック"/>
      <family val="3"/>
      <charset val="128"/>
    </font>
    <font>
      <sz val="11"/>
      <color rgb="FF000000"/>
      <name val="明朝"/>
      <family val="1"/>
      <charset val="128"/>
    </font>
    <font>
      <b/>
      <sz val="10"/>
      <color theme="0"/>
      <name val="ＭＳ Ｐゴシック"/>
      <family val="3"/>
      <charset val="128"/>
    </font>
    <font>
      <b/>
      <sz val="10"/>
      <color rgb="FFFFFFFF"/>
      <name val="メイリオ"/>
      <family val="3"/>
      <charset val="128"/>
    </font>
    <font>
      <sz val="8"/>
      <color rgb="FF747474"/>
      <name val="メイリオ"/>
      <family val="3"/>
      <charset val="128"/>
    </font>
  </fonts>
  <fills count="17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0060C0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E5E5E5"/>
        <bgColor indexed="64"/>
      </patternFill>
    </fill>
    <fill>
      <patternFill patternType="solid">
        <fgColor rgb="FF81D1F9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34">
    <xf numFmtId="0" fontId="0" fillId="0" borderId="0"/>
    <xf numFmtId="177" fontId="8" fillId="0" borderId="1">
      <alignment horizontal="right"/>
    </xf>
    <xf numFmtId="0" fontId="10" fillId="0" borderId="0">
      <alignment horizontal="center" wrapText="1"/>
      <protection locked="0"/>
    </xf>
    <xf numFmtId="178" fontId="11" fillId="0" borderId="0" applyFill="0" applyBorder="0" applyAlignment="0"/>
    <xf numFmtId="0" fontId="12" fillId="0" borderId="2" applyNumberFormat="0" applyAlignment="0" applyProtection="0">
      <alignment horizontal="left" vertical="center"/>
    </xf>
    <xf numFmtId="0" fontId="12" fillId="0" borderId="3">
      <alignment horizontal="left" vertical="center"/>
    </xf>
    <xf numFmtId="0" fontId="13" fillId="0" borderId="0"/>
    <xf numFmtId="14" fontId="10" fillId="0" borderId="0">
      <alignment horizontal="center" wrapText="1"/>
      <protection locked="0"/>
    </xf>
    <xf numFmtId="0" fontId="8" fillId="0" borderId="0">
      <alignment vertical="center"/>
    </xf>
    <xf numFmtId="0" fontId="8" fillId="0" borderId="0"/>
    <xf numFmtId="0" fontId="8" fillId="0" borderId="0"/>
    <xf numFmtId="0" fontId="16" fillId="0" borderId="0">
      <alignment vertical="center"/>
    </xf>
    <xf numFmtId="0" fontId="16" fillId="0" borderId="0">
      <alignment vertical="center"/>
    </xf>
    <xf numFmtId="0" fontId="8" fillId="0" borderId="0">
      <alignment vertical="center"/>
    </xf>
    <xf numFmtId="0" fontId="20" fillId="0" borderId="0">
      <alignment vertical="center"/>
    </xf>
    <xf numFmtId="0" fontId="8" fillId="0" borderId="0"/>
    <xf numFmtId="0" fontId="8" fillId="0" borderId="0">
      <alignment vertical="center"/>
    </xf>
    <xf numFmtId="0" fontId="8" fillId="0" borderId="0">
      <alignment vertical="center"/>
    </xf>
    <xf numFmtId="0" fontId="19" fillId="0" borderId="0"/>
    <xf numFmtId="0" fontId="16" fillId="0" borderId="0">
      <alignment vertical="center"/>
    </xf>
    <xf numFmtId="0" fontId="14" fillId="0" borderId="0"/>
    <xf numFmtId="0" fontId="22" fillId="0" borderId="0">
      <alignment vertical="center"/>
    </xf>
    <xf numFmtId="0" fontId="8" fillId="0" borderId="0">
      <alignment vertical="center"/>
    </xf>
    <xf numFmtId="0" fontId="5" fillId="0" borderId="0">
      <alignment vertical="center"/>
    </xf>
    <xf numFmtId="0" fontId="23" fillId="0" borderId="0"/>
    <xf numFmtId="0" fontId="4" fillId="0" borderId="0">
      <alignment vertical="center"/>
    </xf>
    <xf numFmtId="0" fontId="8" fillId="0" borderId="0">
      <alignment vertical="center"/>
    </xf>
    <xf numFmtId="0" fontId="19" fillId="0" borderId="0">
      <protection hidden="1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8" fillId="0" borderId="0">
      <alignment vertical="center"/>
    </xf>
  </cellStyleXfs>
  <cellXfs count="71">
    <xf numFmtId="0" fontId="0" fillId="0" borderId="0" xfId="0"/>
    <xf numFmtId="56" fontId="9" fillId="0" borderId="0" xfId="0" applyNumberFormat="1" applyFont="1" applyFill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9" fillId="0" borderId="0" xfId="0" applyFont="1" applyAlignment="1" applyProtection="1">
      <alignment vertical="center"/>
      <protection locked="0"/>
    </xf>
    <xf numFmtId="0" fontId="9" fillId="0" borderId="6" xfId="0" applyFont="1" applyFill="1" applyBorder="1" applyAlignment="1" applyProtection="1">
      <alignment vertical="center"/>
      <protection locked="0"/>
    </xf>
    <xf numFmtId="0" fontId="15" fillId="6" borderId="0" xfId="0" applyFont="1" applyFill="1"/>
    <xf numFmtId="0" fontId="15" fillId="0" borderId="0" xfId="0" applyFont="1"/>
    <xf numFmtId="0" fontId="18" fillId="0" borderId="0" xfId="19" applyFont="1" applyFill="1" applyBorder="1" applyAlignment="1" applyProtection="1">
      <alignment horizontal="left" vertical="center" shrinkToFit="1"/>
      <protection locked="0"/>
    </xf>
    <xf numFmtId="0" fontId="18" fillId="0" borderId="0" xfId="0" applyFont="1" applyFill="1" applyBorder="1" applyAlignment="1">
      <alignment horizontal="left" vertical="center" shrinkToFit="1"/>
    </xf>
    <xf numFmtId="0" fontId="9" fillId="0" borderId="0" xfId="0" applyFont="1" applyFill="1" applyAlignment="1" applyProtection="1">
      <alignment vertical="center"/>
      <protection locked="0"/>
    </xf>
    <xf numFmtId="0" fontId="7" fillId="0" borderId="0" xfId="0" applyFont="1" applyFill="1"/>
    <xf numFmtId="0" fontId="9" fillId="0" borderId="0" xfId="0" applyFont="1" applyFill="1"/>
    <xf numFmtId="0" fontId="9" fillId="0" borderId="0" xfId="0" applyNumberFormat="1" applyFont="1" applyAlignment="1" applyProtection="1">
      <alignment horizontal="center" vertical="center"/>
    </xf>
    <xf numFmtId="20" fontId="24" fillId="0" borderId="6" xfId="0" applyNumberFormat="1" applyFont="1" applyBorder="1" applyAlignment="1" applyProtection="1">
      <alignment vertical="center"/>
      <protection locked="0"/>
    </xf>
    <xf numFmtId="0" fontId="25" fillId="0" borderId="6" xfId="0" applyNumberFormat="1" applyFont="1" applyFill="1" applyBorder="1" applyAlignment="1" applyProtection="1">
      <alignment horizontal="center" vertical="center"/>
      <protection locked="0"/>
    </xf>
    <xf numFmtId="0" fontId="25" fillId="0" borderId="6" xfId="0" applyFont="1" applyFill="1" applyBorder="1" applyAlignment="1" applyProtection="1">
      <alignment vertical="center"/>
      <protection locked="0"/>
    </xf>
    <xf numFmtId="20" fontId="24" fillId="0" borderId="6" xfId="0" applyNumberFormat="1" applyFont="1" applyFill="1" applyBorder="1" applyAlignment="1" applyProtection="1">
      <alignment vertical="center"/>
      <protection locked="0"/>
    </xf>
    <xf numFmtId="56" fontId="24" fillId="0" borderId="0" xfId="0" applyNumberFormat="1" applyFont="1" applyFill="1" applyAlignment="1" applyProtection="1">
      <alignment horizontal="center" vertical="center"/>
      <protection locked="0"/>
    </xf>
    <xf numFmtId="0" fontId="24" fillId="0" borderId="0" xfId="0" applyFont="1" applyAlignment="1" applyProtection="1">
      <alignment horizontal="center" vertical="center"/>
      <protection locked="0"/>
    </xf>
    <xf numFmtId="0" fontId="24" fillId="0" borderId="0" xfId="0" applyFont="1" applyAlignment="1" applyProtection="1">
      <alignment horizontal="center" vertical="center"/>
    </xf>
    <xf numFmtId="0" fontId="24" fillId="0" borderId="0" xfId="0" applyFont="1" applyAlignment="1" applyProtection="1">
      <alignment vertical="center"/>
      <protection locked="0"/>
    </xf>
    <xf numFmtId="56" fontId="24" fillId="2" borderId="4" xfId="0" applyNumberFormat="1" applyFont="1" applyFill="1" applyBorder="1" applyAlignment="1" applyProtection="1">
      <alignment horizontal="center" vertical="center"/>
      <protection locked="0"/>
    </xf>
    <xf numFmtId="0" fontId="24" fillId="2" borderId="5" xfId="0" applyFont="1" applyFill="1" applyBorder="1" applyAlignment="1" applyProtection="1">
      <alignment horizontal="center" vertical="center"/>
      <protection locked="0"/>
    </xf>
    <xf numFmtId="0" fontId="24" fillId="3" borderId="5" xfId="0" applyFont="1" applyFill="1" applyBorder="1" applyAlignment="1" applyProtection="1">
      <alignment horizontal="center" vertical="center"/>
    </xf>
    <xf numFmtId="0" fontId="24" fillId="4" borderId="5" xfId="0" applyFont="1" applyFill="1" applyBorder="1" applyAlignment="1" applyProtection="1">
      <alignment horizontal="center" vertical="center"/>
      <protection locked="0"/>
    </xf>
    <xf numFmtId="0" fontId="24" fillId="0" borderId="5" xfId="0" applyFont="1" applyBorder="1" applyAlignment="1" applyProtection="1">
      <alignment vertical="center"/>
      <protection locked="0"/>
    </xf>
    <xf numFmtId="176" fontId="24" fillId="0" borderId="7" xfId="0" applyNumberFormat="1" applyFont="1" applyFill="1" applyBorder="1" applyAlignment="1" applyProtection="1">
      <alignment horizontal="center" vertical="center"/>
      <protection locked="0"/>
    </xf>
    <xf numFmtId="179" fontId="24" fillId="0" borderId="6" xfId="0" applyNumberFormat="1" applyFont="1" applyFill="1" applyBorder="1" applyAlignment="1" applyProtection="1">
      <alignment horizontal="center" vertical="center"/>
      <protection locked="0"/>
    </xf>
    <xf numFmtId="0" fontId="24" fillId="3" borderId="8" xfId="0" applyNumberFormat="1" applyFont="1" applyFill="1" applyBorder="1" applyAlignment="1" applyProtection="1">
      <alignment horizontal="center" vertical="center"/>
    </xf>
    <xf numFmtId="0" fontId="24" fillId="0" borderId="6" xfId="0" applyFont="1" applyFill="1" applyBorder="1" applyAlignment="1" applyProtection="1">
      <alignment horizontal="center" vertical="center"/>
      <protection locked="0"/>
    </xf>
    <xf numFmtId="179" fontId="26" fillId="0" borderId="6" xfId="0" applyNumberFormat="1" applyFont="1" applyFill="1" applyBorder="1" applyAlignment="1" applyProtection="1">
      <alignment horizontal="center" vertical="center"/>
      <protection locked="0"/>
    </xf>
    <xf numFmtId="0" fontId="24" fillId="3" borderId="6" xfId="0" applyNumberFormat="1" applyFont="1" applyFill="1" applyBorder="1" applyAlignment="1" applyProtection="1">
      <alignment horizontal="center" vertical="center"/>
    </xf>
    <xf numFmtId="0" fontId="15" fillId="7" borderId="0" xfId="0" applyFont="1" applyFill="1"/>
    <xf numFmtId="0" fontId="19" fillId="3" borderId="1" xfId="27" applyFill="1" applyBorder="1" applyAlignment="1">
      <alignment horizontal="center" vertical="center" wrapText="1"/>
      <protection hidden="1"/>
    </xf>
    <xf numFmtId="0" fontId="27" fillId="0" borderId="0" xfId="27" applyFont="1" applyAlignment="1">
      <alignment horizontal="left" vertical="center"/>
      <protection hidden="1"/>
    </xf>
    <xf numFmtId="0" fontId="19" fillId="0" borderId="0" xfId="27" applyAlignment="1">
      <alignment horizontal="center" vertical="center" wrapText="1"/>
      <protection hidden="1"/>
    </xf>
    <xf numFmtId="180" fontId="19" fillId="0" borderId="0" xfId="27" applyNumberFormat="1" applyAlignment="1">
      <alignment horizontal="center" vertical="center" wrapText="1"/>
      <protection hidden="1"/>
    </xf>
    <xf numFmtId="0" fontId="19" fillId="0" borderId="0" xfId="27" applyAlignment="1">
      <alignment horizontal="left" vertical="center" wrapText="1"/>
      <protection hidden="1"/>
    </xf>
    <xf numFmtId="0" fontId="19" fillId="0" borderId="0" xfId="27" applyAlignment="1">
      <alignment wrapText="1"/>
      <protection hidden="1"/>
    </xf>
    <xf numFmtId="49" fontId="19" fillId="0" borderId="10" xfId="27" applyNumberFormat="1" applyBorder="1" applyAlignment="1">
      <alignment horizontal="center" vertical="center"/>
      <protection hidden="1"/>
    </xf>
    <xf numFmtId="180" fontId="19" fillId="0" borderId="0" xfId="27" applyNumberFormat="1" applyAlignment="1">
      <alignment horizontal="center" vertical="center"/>
      <protection hidden="1"/>
    </xf>
    <xf numFmtId="0" fontId="19" fillId="0" borderId="0" xfId="27" applyAlignment="1">
      <alignment horizontal="center" vertical="center"/>
      <protection hidden="1"/>
    </xf>
    <xf numFmtId="0" fontId="19" fillId="0" borderId="0" xfId="27" applyAlignment="1">
      <alignment horizontal="left" vertical="center"/>
      <protection hidden="1"/>
    </xf>
    <xf numFmtId="0" fontId="19" fillId="0" borderId="0" xfId="27">
      <protection hidden="1"/>
    </xf>
    <xf numFmtId="0" fontId="19" fillId="9" borderId="1" xfId="27" applyFill="1" applyBorder="1" applyAlignment="1">
      <alignment horizontal="center" vertical="center" wrapText="1"/>
      <protection hidden="1"/>
    </xf>
    <xf numFmtId="180" fontId="19" fillId="9" borderId="1" xfId="27" applyNumberFormat="1" applyFill="1" applyBorder="1" applyAlignment="1">
      <alignment horizontal="center" vertical="center" wrapText="1"/>
      <protection hidden="1"/>
    </xf>
    <xf numFmtId="0" fontId="19" fillId="9" borderId="1" xfId="27" applyFill="1" applyBorder="1" applyAlignment="1">
      <alignment horizontal="left" vertical="center" wrapText="1"/>
      <protection hidden="1"/>
    </xf>
    <xf numFmtId="0" fontId="19" fillId="0" borderId="1" xfId="27" applyBorder="1" applyAlignment="1" applyProtection="1">
      <alignment horizontal="center" vertical="center"/>
      <protection locked="0" hidden="1"/>
    </xf>
    <xf numFmtId="0" fontId="19" fillId="0" borderId="1" xfId="27" applyFill="1" applyBorder="1" applyAlignment="1" applyProtection="1">
      <alignment horizontal="center" vertical="center"/>
      <protection locked="0" hidden="1"/>
    </xf>
    <xf numFmtId="180" fontId="19" fillId="0" borderId="1" xfId="27" applyNumberFormat="1" applyBorder="1" applyAlignment="1" applyProtection="1">
      <alignment horizontal="center" vertical="center"/>
      <protection locked="0" hidden="1"/>
    </xf>
    <xf numFmtId="0" fontId="19" fillId="0" borderId="1" xfId="27" applyBorder="1" applyAlignment="1" applyProtection="1">
      <alignment horizontal="left" vertical="center"/>
      <protection locked="0" hidden="1"/>
    </xf>
    <xf numFmtId="0" fontId="19" fillId="0" borderId="1" xfId="27" applyBorder="1" applyProtection="1">
      <protection locked="0" hidden="1"/>
    </xf>
    <xf numFmtId="0" fontId="19" fillId="0" borderId="0" xfId="27" applyProtection="1">
      <protection locked="0" hidden="1"/>
    </xf>
    <xf numFmtId="0" fontId="19" fillId="0" borderId="0" xfId="27" applyFill="1" applyBorder="1" applyAlignment="1" applyProtection="1">
      <alignment horizontal="center" vertical="center"/>
      <protection locked="0" hidden="1"/>
    </xf>
    <xf numFmtId="49" fontId="19" fillId="0" borderId="0" xfId="27" applyNumberFormat="1">
      <protection hidden="1"/>
    </xf>
    <xf numFmtId="0" fontId="18" fillId="0" borderId="0" xfId="0" applyFont="1"/>
    <xf numFmtId="0" fontId="15" fillId="0" borderId="0" xfId="0" applyFont="1" applyAlignment="1">
      <alignment horizontal="center" vertical="center"/>
    </xf>
    <xf numFmtId="0" fontId="24" fillId="10" borderId="5" xfId="0" applyFont="1" applyFill="1" applyBorder="1" applyAlignment="1" applyProtection="1">
      <alignment horizontal="center" vertical="center"/>
      <protection locked="0"/>
    </xf>
    <xf numFmtId="0" fontId="24" fillId="11" borderId="5" xfId="0" applyFont="1" applyFill="1" applyBorder="1" applyAlignment="1" applyProtection="1">
      <alignment horizontal="center" vertical="center"/>
      <protection locked="0"/>
    </xf>
    <xf numFmtId="0" fontId="33" fillId="12" borderId="5" xfId="0" applyFont="1" applyFill="1" applyBorder="1" applyAlignment="1" applyProtection="1">
      <alignment horizontal="center" vertical="center"/>
      <protection locked="0"/>
    </xf>
    <xf numFmtId="0" fontId="24" fillId="5" borderId="5" xfId="0" applyFont="1" applyFill="1" applyBorder="1" applyAlignment="1" applyProtection="1">
      <alignment horizontal="center" vertical="center"/>
      <protection locked="0"/>
    </xf>
    <xf numFmtId="0" fontId="26" fillId="7" borderId="5" xfId="0" applyFont="1" applyFill="1" applyBorder="1" applyAlignment="1" applyProtection="1">
      <alignment horizontal="center" vertical="center"/>
      <protection locked="0"/>
    </xf>
    <xf numFmtId="0" fontId="24" fillId="0" borderId="6" xfId="0" applyFont="1" applyFill="1" applyBorder="1" applyAlignment="1" applyProtection="1">
      <alignment horizontal="right" vertical="center"/>
      <protection locked="0"/>
    </xf>
    <xf numFmtId="0" fontId="9" fillId="0" borderId="0" xfId="0" applyFont="1" applyAlignment="1" applyProtection="1">
      <alignment horizontal="right" vertical="center"/>
      <protection locked="0"/>
    </xf>
    <xf numFmtId="0" fontId="29" fillId="8" borderId="1" xfId="27" applyFont="1" applyFill="1" applyBorder="1" applyAlignment="1">
      <alignment horizontal="center" vertical="center"/>
      <protection hidden="1"/>
    </xf>
    <xf numFmtId="0" fontId="29" fillId="0" borderId="1" xfId="27" applyFont="1" applyBorder="1" applyAlignment="1" applyProtection="1">
      <alignment horizontal="left" vertical="center"/>
      <protection locked="0" hidden="1"/>
    </xf>
    <xf numFmtId="0" fontId="24" fillId="2" borderId="9" xfId="0" applyFont="1" applyFill="1" applyBorder="1" applyAlignment="1" applyProtection="1">
      <alignment horizontal="center" vertical="center"/>
      <protection locked="0"/>
    </xf>
    <xf numFmtId="0" fontId="35" fillId="14" borderId="11" xfId="0" applyFont="1" applyFill="1" applyBorder="1" applyAlignment="1">
      <alignment horizontal="left" vertical="center" wrapText="1"/>
    </xf>
    <xf numFmtId="0" fontId="35" fillId="15" borderId="11" xfId="0" applyFont="1" applyFill="1" applyBorder="1" applyAlignment="1">
      <alignment horizontal="left" vertical="center" wrapText="1"/>
    </xf>
    <xf numFmtId="0" fontId="35" fillId="16" borderId="11" xfId="0" applyFont="1" applyFill="1" applyBorder="1" applyAlignment="1">
      <alignment horizontal="left" vertical="center" wrapText="1"/>
    </xf>
    <xf numFmtId="0" fontId="34" fillId="13" borderId="11" xfId="0" applyFont="1" applyFill="1" applyBorder="1" applyAlignment="1">
      <alignment horizontal="center" vertical="center"/>
    </xf>
  </cellXfs>
  <cellStyles count="34">
    <cellStyle name="11.5" xfId="1" xr:uid="{00000000-0005-0000-0000-000000000000}"/>
    <cellStyle name="args.style" xfId="2" xr:uid="{00000000-0005-0000-0000-000001000000}"/>
    <cellStyle name="Calc Currency (0)" xfId="3" xr:uid="{00000000-0005-0000-0000-000002000000}"/>
    <cellStyle name="Header1" xfId="4" xr:uid="{00000000-0005-0000-0000-000003000000}"/>
    <cellStyle name="Header2" xfId="5" xr:uid="{00000000-0005-0000-0000-000004000000}"/>
    <cellStyle name="Normal_#18-Internet" xfId="6" xr:uid="{00000000-0005-0000-0000-000005000000}"/>
    <cellStyle name="per.style" xfId="7" xr:uid="{00000000-0005-0000-0000-000006000000}"/>
    <cellStyle name="標準" xfId="0" builtinId="0"/>
    <cellStyle name="標準 10" xfId="23" xr:uid="{00000000-0005-0000-0000-000008000000}"/>
    <cellStyle name="標準 11" xfId="24" xr:uid="{00000000-0005-0000-0000-000009000000}"/>
    <cellStyle name="標準 12" xfId="25" xr:uid="{00000000-0005-0000-0000-00000A000000}"/>
    <cellStyle name="標準 13" xfId="27" xr:uid="{00000000-0005-0000-0000-00000B000000}"/>
    <cellStyle name="標準 14" xfId="28" xr:uid="{00000000-0005-0000-0000-00000C000000}"/>
    <cellStyle name="標準 15" xfId="26" xr:uid="{00000000-0005-0000-0000-00000D000000}"/>
    <cellStyle name="標準 16" xfId="29" xr:uid="{00000000-0005-0000-0000-00000E000000}"/>
    <cellStyle name="標準 17" xfId="30" xr:uid="{00000000-0005-0000-0000-00000F000000}"/>
    <cellStyle name="標準 18" xfId="31" xr:uid="{00000000-0005-0000-0000-000010000000}"/>
    <cellStyle name="標準 19" xfId="32" xr:uid="{00000000-0005-0000-0000-000011000000}"/>
    <cellStyle name="標準 2" xfId="8" xr:uid="{00000000-0005-0000-0000-000012000000}"/>
    <cellStyle name="標準 2 2" xfId="9" xr:uid="{00000000-0005-0000-0000-000013000000}"/>
    <cellStyle name="標準 2 2 2" xfId="10" xr:uid="{00000000-0005-0000-0000-000014000000}"/>
    <cellStyle name="標準 2 2_aaaaa" xfId="11" xr:uid="{00000000-0005-0000-0000-000015000000}"/>
    <cellStyle name="標準 2_%A6ド不稼動プロジェクト_日報入力方法" xfId="12" xr:uid="{00000000-0005-0000-0000-000016000000}"/>
    <cellStyle name="標準 20" xfId="33" xr:uid="{00000000-0005-0000-0000-000017000000}"/>
    <cellStyle name="標準 3" xfId="13" xr:uid="{00000000-0005-0000-0000-000018000000}"/>
    <cellStyle name="標準 3 2" xfId="14" xr:uid="{00000000-0005-0000-0000-000019000000}"/>
    <cellStyle name="標準 4" xfId="15" xr:uid="{00000000-0005-0000-0000-00001A000000}"/>
    <cellStyle name="標準 5" xfId="16" xr:uid="{00000000-0005-0000-0000-00001B000000}"/>
    <cellStyle name="標準 6" xfId="17" xr:uid="{00000000-0005-0000-0000-00001C000000}"/>
    <cellStyle name="標準 7" xfId="18" xr:uid="{00000000-0005-0000-0000-00001D000000}"/>
    <cellStyle name="標準 8" xfId="21" xr:uid="{00000000-0005-0000-0000-00001E000000}"/>
    <cellStyle name="標準 9" xfId="22" xr:uid="{00000000-0005-0000-0000-00001F000000}"/>
    <cellStyle name="標準_%A6ド不稼動プロジェクト_日報入力方法" xfId="19" xr:uid="{00000000-0005-0000-0000-000020000000}"/>
    <cellStyle name="未定義" xfId="20" xr:uid="{00000000-0005-0000-0000-000022000000}"/>
  </cellStyles>
  <dxfs count="0"/>
  <tableStyles count="0" defaultTableStyle="TableStyleMedium9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2</xdr:row>
      <xdr:rowOff>0</xdr:rowOff>
    </xdr:from>
    <xdr:to>
      <xdr:col>16</xdr:col>
      <xdr:colOff>325621</xdr:colOff>
      <xdr:row>41</xdr:row>
      <xdr:rowOff>114379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530853" y="336176"/>
          <a:ext cx="3048425" cy="8145012"/>
        </a:xfrm>
        <a:prstGeom prst="rect">
          <a:avLst/>
        </a:prstGeom>
      </xdr:spPr>
    </xdr:pic>
    <xdr:clientData/>
  </xdr:twoCellAnchor>
  <xdr:twoCellAnchor editAs="oneCell">
    <xdr:from>
      <xdr:col>16</xdr:col>
      <xdr:colOff>313765</xdr:colOff>
      <xdr:row>3</xdr:row>
      <xdr:rowOff>44823</xdr:rowOff>
    </xdr:from>
    <xdr:to>
      <xdr:col>21</xdr:col>
      <xdr:colOff>1041</xdr:colOff>
      <xdr:row>31</xdr:row>
      <xdr:rowOff>21594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578853" y="549088"/>
          <a:ext cx="3038899" cy="614448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620864</xdr:colOff>
          <xdr:row>11</xdr:row>
          <xdr:rowOff>13915</xdr:rowOff>
        </xdr:from>
        <xdr:to>
          <xdr:col>11</xdr:col>
          <xdr:colOff>151075</xdr:colOff>
          <xdr:row>12</xdr:row>
          <xdr:rowOff>106680</xdr:rowOff>
        </xdr:to>
        <xdr:sp macro="" textlink="">
          <xdr:nvSpPr>
            <xdr:cNvPr id="1026" name="Control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4EC8389E-F3AD-4850-8FC0-5CC2A9000D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152400</xdr:rowOff>
        </xdr:from>
        <xdr:to>
          <xdr:col>12</xdr:col>
          <xdr:colOff>274320</xdr:colOff>
          <xdr:row>1</xdr:row>
          <xdr:rowOff>144780</xdr:rowOff>
        </xdr:to>
        <xdr:sp macro="" textlink="">
          <xdr:nvSpPr>
            <xdr:cNvPr id="200705" name="Button 1" hidden="1">
              <a:extLst>
                <a:ext uri="{63B3BB69-23CF-44E3-9099-C40C66FF867C}">
                  <a14:compatExt spid="_x0000_s200705"/>
                </a:ext>
                <a:ext uri="{FF2B5EF4-FFF2-40B4-BE49-F238E27FC236}">
                  <a16:creationId xmlns:a16="http://schemas.microsoft.com/office/drawing/2014/main" id="{00000000-0008-0000-0100-000001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明朝"/>
                </a:rPr>
                <a:t>CSV</a:t>
              </a: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1</xdr:rowOff>
    </xdr:from>
    <xdr:to>
      <xdr:col>5</xdr:col>
      <xdr:colOff>1</xdr:colOff>
      <xdr:row>1</xdr:row>
      <xdr:rowOff>0</xdr:rowOff>
    </xdr:to>
    <xdr:sp macro="[0]!日報入力.Nippou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 bwMode="auto">
        <a:xfrm>
          <a:off x="1962150" y="1"/>
          <a:ext cx="390526" cy="190499"/>
        </a:xfrm>
        <a:prstGeom prst="rect">
          <a:avLst/>
        </a:prstGeom>
        <a:solidFill>
          <a:srgbClr val="00B0F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 b="1">
              <a:solidFill>
                <a:schemeClr val="bg1"/>
              </a:solidFill>
            </a:rPr>
            <a:t>入力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114300</xdr:colOff>
          <xdr:row>0</xdr:row>
          <xdr:rowOff>7620</xdr:rowOff>
        </xdr:from>
        <xdr:to>
          <xdr:col>8</xdr:col>
          <xdr:colOff>487680</xdr:colOff>
          <xdr:row>0</xdr:row>
          <xdr:rowOff>182880</xdr:rowOff>
        </xdr:to>
        <xdr:sp macro="" textlink="">
          <xdr:nvSpPr>
            <xdr:cNvPr id="529409" name="Button 1" hidden="1">
              <a:extLst>
                <a:ext uri="{63B3BB69-23CF-44E3-9099-C40C66FF867C}">
                  <a14:compatExt spid="_x0000_s529409"/>
                </a:ext>
                <a:ext uri="{FF2B5EF4-FFF2-40B4-BE49-F238E27FC236}">
                  <a16:creationId xmlns:a16="http://schemas.microsoft.com/office/drawing/2014/main" id="{00000000-0008-0000-0300-00000114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1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CSV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rgb="FFFF0000"/>
  </sheetPr>
  <dimension ref="A1:M51"/>
  <sheetViews>
    <sheetView zoomScale="115" zoomScaleNormal="115" workbookViewId="0">
      <pane ySplit="1" topLeftCell="A7" activePane="bottomLeft" state="frozen"/>
      <selection activeCell="A3" sqref="A3"/>
      <selection pane="bottomLeft" activeCell="K6" sqref="K6"/>
    </sheetView>
  </sheetViews>
  <sheetFormatPr defaultColWidth="9" defaultRowHeight="13.2"/>
  <cols>
    <col min="1" max="1" width="16.33203125" style="6" customWidth="1"/>
    <col min="2" max="2" width="7.44140625" style="6" bestFit="1" customWidth="1"/>
    <col min="3" max="3" width="8.6640625" style="6" customWidth="1"/>
    <col min="4" max="4" width="41.44140625" style="6" customWidth="1"/>
    <col min="5" max="5" width="5.44140625" style="6" bestFit="1" customWidth="1"/>
    <col min="6" max="6" width="3.44140625" style="6" bestFit="1" customWidth="1"/>
    <col min="7" max="7" width="19.77734375" style="6" bestFit="1" customWidth="1"/>
    <col min="8" max="8" width="3.77734375" style="6" customWidth="1"/>
    <col min="9" max="10" width="9" style="6"/>
    <col min="11" max="11" width="9.109375" style="56" customWidth="1"/>
    <col min="12" max="16384" width="9" style="6"/>
  </cols>
  <sheetData>
    <row r="1" spans="1:13">
      <c r="A1" s="5" t="s">
        <v>6</v>
      </c>
      <c r="B1" s="5" t="s">
        <v>4</v>
      </c>
      <c r="C1" s="5" t="s">
        <v>3</v>
      </c>
      <c r="D1" s="5" t="s">
        <v>5</v>
      </c>
      <c r="E1" s="5" t="s">
        <v>21</v>
      </c>
    </row>
    <row r="2" spans="1:13" ht="13.8" thickBot="1">
      <c r="A2" s="8" t="s">
        <v>56</v>
      </c>
      <c r="B2" s="7">
        <v>239010</v>
      </c>
      <c r="C2" s="8" t="s">
        <v>13</v>
      </c>
      <c r="D2" s="7" t="s">
        <v>58</v>
      </c>
      <c r="F2" s="6">
        <v>0</v>
      </c>
      <c r="G2" s="6" t="s">
        <v>23</v>
      </c>
      <c r="J2" s="56" t="s">
        <v>10</v>
      </c>
      <c r="M2" s="6" t="s">
        <v>63</v>
      </c>
    </row>
    <row r="3" spans="1:13" ht="16.8" thickBot="1">
      <c r="A3" s="8" t="s">
        <v>64</v>
      </c>
      <c r="B3" s="7">
        <v>232760</v>
      </c>
      <c r="C3" s="8" t="s">
        <v>65</v>
      </c>
      <c r="D3" s="8" t="s">
        <v>66</v>
      </c>
      <c r="F3" s="32">
        <v>0.5</v>
      </c>
      <c r="G3" s="32" t="s">
        <v>24</v>
      </c>
      <c r="I3" s="6" t="s">
        <v>57</v>
      </c>
      <c r="J3" s="70" t="s">
        <v>69</v>
      </c>
      <c r="K3" s="70" t="s">
        <v>68</v>
      </c>
    </row>
    <row r="4" spans="1:13" ht="27" thickBot="1">
      <c r="A4" s="55"/>
      <c r="B4" s="55"/>
      <c r="C4" s="55"/>
      <c r="D4" s="8"/>
      <c r="F4" s="6">
        <v>1</v>
      </c>
      <c r="G4" s="6" t="s">
        <v>25</v>
      </c>
      <c r="J4" s="67" t="s">
        <v>70</v>
      </c>
      <c r="K4" s="67">
        <v>1</v>
      </c>
    </row>
    <row r="5" spans="1:13" ht="13.8" thickBot="1">
      <c r="A5" s="8"/>
      <c r="B5" s="8"/>
      <c r="C5" s="55"/>
      <c r="D5" s="55"/>
      <c r="F5" s="32">
        <v>1.5</v>
      </c>
      <c r="G5" s="32" t="s">
        <v>26</v>
      </c>
      <c r="J5" s="68" t="s">
        <v>71</v>
      </c>
      <c r="K5" s="68">
        <v>2</v>
      </c>
    </row>
    <row r="6" spans="1:13" ht="13.8" thickBot="1">
      <c r="A6" s="8"/>
      <c r="B6" s="8"/>
      <c r="C6" s="8"/>
      <c r="D6" s="55"/>
      <c r="F6" s="6">
        <v>2</v>
      </c>
      <c r="G6" s="6" t="s">
        <v>27</v>
      </c>
      <c r="J6" s="67" t="s">
        <v>72</v>
      </c>
      <c r="K6" s="67">
        <v>3</v>
      </c>
    </row>
    <row r="7" spans="1:13" ht="13.8" thickBot="1">
      <c r="A7" s="8"/>
      <c r="B7" s="8"/>
      <c r="C7" s="8"/>
      <c r="D7" s="55"/>
      <c r="F7" s="32">
        <v>2.5</v>
      </c>
      <c r="G7" s="32" t="s">
        <v>28</v>
      </c>
      <c r="J7" s="68" t="s">
        <v>73</v>
      </c>
      <c r="K7" s="68">
        <v>4</v>
      </c>
    </row>
    <row r="8" spans="1:13" ht="13.8" thickBot="1">
      <c r="A8" s="8"/>
      <c r="B8" s="8"/>
      <c r="C8" s="8"/>
      <c r="D8" s="55"/>
      <c r="F8" s="6">
        <v>3</v>
      </c>
      <c r="G8" s="6" t="s">
        <v>29</v>
      </c>
      <c r="J8" s="67" t="s">
        <v>74</v>
      </c>
      <c r="K8" s="67">
        <v>5</v>
      </c>
    </row>
    <row r="9" spans="1:13" ht="13.8" thickBot="1">
      <c r="A9" s="8"/>
      <c r="B9" s="8"/>
      <c r="C9" s="8"/>
      <c r="D9" s="55"/>
      <c r="F9" s="32">
        <v>3.5</v>
      </c>
      <c r="G9" s="32" t="s">
        <v>30</v>
      </c>
      <c r="J9" s="68" t="s">
        <v>75</v>
      </c>
      <c r="K9" s="68">
        <v>6</v>
      </c>
    </row>
    <row r="10" spans="1:13" ht="13.8" thickBot="1">
      <c r="A10" s="8"/>
      <c r="B10" s="8"/>
      <c r="C10" s="8"/>
      <c r="D10" s="55"/>
      <c r="F10" s="6">
        <v>4</v>
      </c>
      <c r="G10" s="6" t="s">
        <v>31</v>
      </c>
      <c r="J10" s="67" t="s">
        <v>76</v>
      </c>
      <c r="K10" s="67">
        <v>7</v>
      </c>
    </row>
    <row r="11" spans="1:13" ht="13.8" thickBot="1">
      <c r="A11" s="8"/>
      <c r="B11" s="8"/>
      <c r="C11" s="8"/>
      <c r="D11" s="55"/>
      <c r="F11" s="32">
        <v>4.5</v>
      </c>
      <c r="G11" s="32" t="s">
        <v>32</v>
      </c>
      <c r="J11" s="68" t="s">
        <v>77</v>
      </c>
      <c r="K11" s="68">
        <v>8</v>
      </c>
    </row>
    <row r="12" spans="1:13" ht="13.8" thickBot="1">
      <c r="A12" s="8"/>
      <c r="B12" s="8"/>
      <c r="C12" s="8"/>
      <c r="D12" s="55"/>
      <c r="F12" s="6">
        <v>5</v>
      </c>
      <c r="G12" s="6" t="s">
        <v>33</v>
      </c>
      <c r="J12" s="67" t="s">
        <v>78</v>
      </c>
      <c r="K12" s="67">
        <v>9</v>
      </c>
    </row>
    <row r="13" spans="1:13" ht="13.8" thickBot="1">
      <c r="A13" s="8"/>
      <c r="B13" s="8"/>
      <c r="C13" s="8"/>
      <c r="D13" s="55"/>
      <c r="F13" s="32">
        <v>5.5</v>
      </c>
      <c r="G13" s="32" t="s">
        <v>34</v>
      </c>
      <c r="J13" s="68" t="s">
        <v>79</v>
      </c>
      <c r="K13" s="68">
        <v>10</v>
      </c>
    </row>
    <row r="14" spans="1:13" ht="13.8" thickBot="1">
      <c r="A14" s="8"/>
      <c r="B14" s="8"/>
      <c r="C14" s="8"/>
      <c r="D14" s="55"/>
      <c r="F14" s="6">
        <v>6</v>
      </c>
      <c r="G14" s="6" t="s">
        <v>35</v>
      </c>
      <c r="J14" s="67" t="s">
        <v>80</v>
      </c>
      <c r="K14" s="67">
        <v>11</v>
      </c>
    </row>
    <row r="15" spans="1:13" ht="27" thickBot="1">
      <c r="A15" s="8"/>
      <c r="B15" s="8"/>
      <c r="C15" s="8"/>
      <c r="D15" s="55"/>
      <c r="F15" s="32">
        <v>6.5</v>
      </c>
      <c r="G15" s="32" t="s">
        <v>36</v>
      </c>
      <c r="J15" s="68" t="s">
        <v>81</v>
      </c>
      <c r="K15" s="68">
        <v>12</v>
      </c>
    </row>
    <row r="16" spans="1:13" ht="27" thickBot="1">
      <c r="A16" s="8"/>
      <c r="B16" s="8"/>
      <c r="C16" s="8"/>
      <c r="D16" s="55"/>
      <c r="F16" s="6">
        <v>7</v>
      </c>
      <c r="G16" s="6" t="s">
        <v>55</v>
      </c>
      <c r="J16" s="67" t="s">
        <v>82</v>
      </c>
      <c r="K16" s="67">
        <v>13</v>
      </c>
    </row>
    <row r="17" spans="1:11" ht="13.8" thickBot="1">
      <c r="A17" s="8"/>
      <c r="B17" s="8"/>
      <c r="C17" s="8"/>
      <c r="D17" s="55"/>
      <c r="J17" s="68" t="s">
        <v>83</v>
      </c>
      <c r="K17" s="68">
        <v>14</v>
      </c>
    </row>
    <row r="18" spans="1:11" ht="27" thickBot="1">
      <c r="A18" s="8"/>
      <c r="B18" s="8"/>
      <c r="C18" s="8"/>
      <c r="D18" s="55"/>
      <c r="J18" s="67" t="s">
        <v>84</v>
      </c>
      <c r="K18" s="67">
        <v>15</v>
      </c>
    </row>
    <row r="19" spans="1:11" ht="27" thickBot="1">
      <c r="A19" s="8"/>
      <c r="B19" s="8"/>
      <c r="C19" s="8"/>
      <c r="D19" s="55"/>
      <c r="J19" s="68" t="s">
        <v>85</v>
      </c>
      <c r="K19" s="68">
        <v>16</v>
      </c>
    </row>
    <row r="20" spans="1:11" ht="27" thickBot="1">
      <c r="A20" s="8"/>
      <c r="B20" s="8"/>
      <c r="C20" s="8"/>
      <c r="D20" s="55"/>
      <c r="J20" s="67" t="s">
        <v>86</v>
      </c>
      <c r="K20" s="67">
        <v>17</v>
      </c>
    </row>
    <row r="21" spans="1:11" ht="13.8" thickBot="1">
      <c r="A21" s="8"/>
      <c r="B21" s="8"/>
      <c r="C21" s="8"/>
      <c r="D21" s="55"/>
      <c r="J21" s="68" t="s">
        <v>87</v>
      </c>
      <c r="K21" s="68">
        <v>18</v>
      </c>
    </row>
    <row r="22" spans="1:11" ht="13.8" thickBot="1">
      <c r="A22" s="8"/>
      <c r="B22" s="55"/>
      <c r="C22" s="8"/>
      <c r="D22" s="55"/>
      <c r="J22" s="67" t="s">
        <v>88</v>
      </c>
      <c r="K22" s="67">
        <v>19</v>
      </c>
    </row>
    <row r="23" spans="1:11" ht="13.8" thickBot="1">
      <c r="A23" s="8"/>
      <c r="B23" s="55"/>
      <c r="C23" s="8"/>
      <c r="D23" s="55"/>
      <c r="J23" s="68" t="s">
        <v>89</v>
      </c>
      <c r="K23" s="68">
        <v>20</v>
      </c>
    </row>
    <row r="24" spans="1:11" ht="27" thickBot="1">
      <c r="A24" s="8"/>
      <c r="B24" s="55"/>
      <c r="C24" s="8"/>
      <c r="D24" s="55"/>
      <c r="J24" s="67" t="s">
        <v>90</v>
      </c>
      <c r="K24" s="67">
        <v>51</v>
      </c>
    </row>
    <row r="25" spans="1:11" ht="13.8" thickBot="1">
      <c r="A25" s="8"/>
      <c r="B25" s="8"/>
      <c r="C25" s="8"/>
      <c r="D25" s="55"/>
      <c r="J25" s="68" t="s">
        <v>91</v>
      </c>
      <c r="K25" s="68">
        <v>52</v>
      </c>
    </row>
    <row r="26" spans="1:11" ht="13.8" thickBot="1">
      <c r="A26" s="8"/>
      <c r="B26" s="8"/>
      <c r="C26" s="8"/>
      <c r="D26" s="55"/>
      <c r="J26" s="67" t="s">
        <v>92</v>
      </c>
      <c r="K26" s="67">
        <v>53</v>
      </c>
    </row>
    <row r="27" spans="1:11" ht="27" thickBot="1">
      <c r="A27" s="8"/>
      <c r="B27" s="55"/>
      <c r="C27" s="8"/>
      <c r="D27" s="55"/>
      <c r="J27" s="68" t="s">
        <v>93</v>
      </c>
      <c r="K27" s="68">
        <v>54</v>
      </c>
    </row>
    <row r="28" spans="1:11" ht="13.8" thickBot="1">
      <c r="A28" s="8"/>
      <c r="B28" s="8"/>
      <c r="C28" s="8"/>
      <c r="D28" s="55"/>
      <c r="J28" s="67" t="s">
        <v>94</v>
      </c>
      <c r="K28" s="67">
        <v>55</v>
      </c>
    </row>
    <row r="29" spans="1:11" ht="27" thickBot="1">
      <c r="A29" s="8"/>
      <c r="B29" s="8"/>
      <c r="C29" s="8"/>
      <c r="D29" s="55"/>
      <c r="J29" s="68" t="s">
        <v>95</v>
      </c>
      <c r="K29" s="68">
        <v>56</v>
      </c>
    </row>
    <row r="30" spans="1:11" ht="13.8" thickBot="1">
      <c r="A30" s="8"/>
      <c r="B30" s="55"/>
      <c r="C30" s="8"/>
      <c r="D30" s="55"/>
      <c r="J30" s="67" t="s">
        <v>96</v>
      </c>
      <c r="K30" s="67">
        <v>98</v>
      </c>
    </row>
    <row r="31" spans="1:11" ht="13.8" thickBot="1">
      <c r="A31" s="8"/>
      <c r="B31" s="8"/>
      <c r="C31" s="8"/>
      <c r="D31" s="55"/>
      <c r="J31" s="69" t="s">
        <v>97</v>
      </c>
      <c r="K31" s="69">
        <v>99</v>
      </c>
    </row>
    <row r="32" spans="1:11">
      <c r="A32" s="8"/>
      <c r="B32" s="55"/>
      <c r="C32" s="55"/>
      <c r="D32" s="8"/>
      <c r="K32" s="6"/>
    </row>
    <row r="33" spans="1:11">
      <c r="A33" s="55"/>
      <c r="B33" s="55"/>
      <c r="C33" s="55"/>
      <c r="D33" s="8"/>
      <c r="K33" s="6"/>
    </row>
    <row r="34" spans="1:11">
      <c r="A34" s="55"/>
      <c r="B34" s="55"/>
      <c r="C34" s="55"/>
      <c r="D34" s="8"/>
      <c r="K34" s="6"/>
    </row>
    <row r="35" spans="1:11">
      <c r="A35" s="8"/>
      <c r="B35" s="55"/>
      <c r="C35" s="8"/>
      <c r="D35" s="8"/>
      <c r="K35" s="6"/>
    </row>
    <row r="36" spans="1:11">
      <c r="A36" s="8"/>
      <c r="B36" s="8"/>
      <c r="C36" s="8"/>
      <c r="D36" s="8"/>
      <c r="K36" s="6"/>
    </row>
    <row r="37" spans="1:11">
      <c r="A37" s="8"/>
      <c r="B37" s="8"/>
      <c r="C37" s="8"/>
      <c r="D37" s="8"/>
      <c r="K37" s="6"/>
    </row>
    <row r="38" spans="1:11">
      <c r="A38" s="8"/>
      <c r="B38" s="55"/>
      <c r="C38" s="55"/>
      <c r="D38" s="55"/>
      <c r="K38" s="6"/>
    </row>
    <row r="39" spans="1:11">
      <c r="A39" s="8"/>
      <c r="B39" s="8"/>
      <c r="C39" s="8"/>
      <c r="D39" s="55"/>
      <c r="K39" s="6"/>
    </row>
    <row r="40" spans="1:11">
      <c r="A40" s="8"/>
      <c r="B40" s="8"/>
      <c r="C40" s="8"/>
      <c r="D40" s="55"/>
      <c r="K40" s="6"/>
    </row>
    <row r="41" spans="1:11">
      <c r="A41" s="8"/>
      <c r="B41" s="55"/>
      <c r="C41" s="8"/>
      <c r="D41" s="55"/>
      <c r="K41" s="6"/>
    </row>
    <row r="42" spans="1:11">
      <c r="A42" s="8"/>
      <c r="B42" s="8"/>
      <c r="C42" s="8"/>
      <c r="D42" s="55"/>
      <c r="K42" s="6"/>
    </row>
    <row r="43" spans="1:11">
      <c r="A43" s="8"/>
      <c r="B43" s="8"/>
      <c r="C43" s="8"/>
      <c r="D43" s="55"/>
    </row>
    <row r="44" spans="1:11">
      <c r="A44" s="8"/>
      <c r="B44" s="55"/>
      <c r="C44" s="8"/>
      <c r="D44" s="55"/>
    </row>
    <row r="45" spans="1:11">
      <c r="A45" s="8"/>
      <c r="B45" s="8"/>
      <c r="C45" s="8"/>
      <c r="D45" s="55"/>
    </row>
    <row r="46" spans="1:11">
      <c r="A46" s="8"/>
      <c r="B46" s="8"/>
      <c r="C46" s="8"/>
      <c r="D46" s="55"/>
    </row>
    <row r="47" spans="1:11">
      <c r="A47" s="8"/>
      <c r="B47" s="55"/>
      <c r="C47" s="8"/>
      <c r="D47" s="55"/>
    </row>
    <row r="48" spans="1:11">
      <c r="A48" s="8"/>
      <c r="B48" s="8"/>
      <c r="C48" s="8"/>
      <c r="D48" s="55"/>
    </row>
    <row r="49" spans="1:4">
      <c r="A49" s="8"/>
      <c r="B49" s="8"/>
      <c r="C49" s="8"/>
      <c r="D49" s="55"/>
    </row>
    <row r="50" spans="1:4">
      <c r="A50" s="8"/>
      <c r="B50" s="55"/>
      <c r="C50" s="8"/>
      <c r="D50" s="55"/>
    </row>
    <row r="51" spans="1:4">
      <c r="A51" s="8"/>
      <c r="B51" s="8"/>
      <c r="C51" s="8"/>
      <c r="D51" s="55"/>
    </row>
  </sheetData>
  <phoneticPr fontId="6"/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6" r:id="rId4" name="Control 2">
          <controlPr defaultSize="0" r:id="rId5">
            <anchor moveWithCells="1">
              <from>
                <xdr:col>9</xdr:col>
                <xdr:colOff>0</xdr:colOff>
                <xdr:row>11</xdr:row>
                <xdr:rowOff>15240</xdr:rowOff>
              </from>
              <to>
                <xdr:col>11</xdr:col>
                <xdr:colOff>152400</xdr:colOff>
                <xdr:row>12</xdr:row>
                <xdr:rowOff>106680</xdr:rowOff>
              </to>
            </anchor>
          </controlPr>
        </control>
      </mc:Choice>
      <mc:Fallback>
        <control shapeId="1026" r:id="rId4" name="Control 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O200"/>
  <sheetViews>
    <sheetView zoomScale="83" zoomScaleNormal="83" workbookViewId="0"/>
  </sheetViews>
  <sheetFormatPr defaultRowHeight="13.2"/>
  <cols>
    <col min="1" max="1" width="11.6640625" style="41" bestFit="1" customWidth="1"/>
    <col min="2" max="2" width="12.88671875" style="41" customWidth="1"/>
    <col min="3" max="3" width="5.77734375" style="41" customWidth="1"/>
    <col min="4" max="4" width="11.6640625" style="41" bestFit="1" customWidth="1"/>
    <col min="5" max="5" width="5" style="41" customWidth="1"/>
    <col min="6" max="6" width="9.77734375" style="41" customWidth="1"/>
    <col min="7" max="7" width="5.88671875" style="41" customWidth="1"/>
    <col min="8" max="8" width="5.6640625" style="41" customWidth="1"/>
    <col min="9" max="9" width="7.44140625" style="40" customWidth="1"/>
    <col min="10" max="10" width="6.88671875" style="40" customWidth="1"/>
    <col min="11" max="11" width="6" style="41" customWidth="1"/>
    <col min="12" max="12" width="8.33203125" style="41" customWidth="1"/>
    <col min="13" max="13" width="7.109375" style="41" customWidth="1"/>
    <col min="14" max="14" width="54.33203125" style="42" customWidth="1"/>
    <col min="15" max="15" width="11.33203125" style="43" customWidth="1"/>
    <col min="16" max="256" width="9" style="43"/>
    <col min="257" max="257" width="11.6640625" style="43" bestFit="1" customWidth="1"/>
    <col min="258" max="258" width="9.33203125" style="43" customWidth="1"/>
    <col min="259" max="259" width="5.77734375" style="43" customWidth="1"/>
    <col min="260" max="260" width="11.6640625" style="43" bestFit="1" customWidth="1"/>
    <col min="261" max="261" width="5" style="43" customWidth="1"/>
    <col min="262" max="262" width="9.77734375" style="43" customWidth="1"/>
    <col min="263" max="263" width="5.88671875" style="43" customWidth="1"/>
    <col min="264" max="264" width="5.6640625" style="43" customWidth="1"/>
    <col min="265" max="265" width="7.44140625" style="43" customWidth="1"/>
    <col min="266" max="266" width="6.88671875" style="43" customWidth="1"/>
    <col min="267" max="267" width="6" style="43" customWidth="1"/>
    <col min="268" max="268" width="8.33203125" style="43" customWidth="1"/>
    <col min="269" max="269" width="7.109375" style="43" customWidth="1"/>
    <col min="270" max="270" width="54.33203125" style="43" customWidth="1"/>
    <col min="271" max="271" width="11.33203125" style="43" customWidth="1"/>
    <col min="272" max="512" width="9" style="43"/>
    <col min="513" max="513" width="11.6640625" style="43" bestFit="1" customWidth="1"/>
    <col min="514" max="514" width="9.33203125" style="43" customWidth="1"/>
    <col min="515" max="515" width="5.77734375" style="43" customWidth="1"/>
    <col min="516" max="516" width="11.6640625" style="43" bestFit="1" customWidth="1"/>
    <col min="517" max="517" width="5" style="43" customWidth="1"/>
    <col min="518" max="518" width="9.77734375" style="43" customWidth="1"/>
    <col min="519" max="519" width="5.88671875" style="43" customWidth="1"/>
    <col min="520" max="520" width="5.6640625" style="43" customWidth="1"/>
    <col min="521" max="521" width="7.44140625" style="43" customWidth="1"/>
    <col min="522" max="522" width="6.88671875" style="43" customWidth="1"/>
    <col min="523" max="523" width="6" style="43" customWidth="1"/>
    <col min="524" max="524" width="8.33203125" style="43" customWidth="1"/>
    <col min="525" max="525" width="7.109375" style="43" customWidth="1"/>
    <col min="526" max="526" width="54.33203125" style="43" customWidth="1"/>
    <col min="527" max="527" width="11.33203125" style="43" customWidth="1"/>
    <col min="528" max="768" width="9" style="43"/>
    <col min="769" max="769" width="11.6640625" style="43" bestFit="1" customWidth="1"/>
    <col min="770" max="770" width="9.33203125" style="43" customWidth="1"/>
    <col min="771" max="771" width="5.77734375" style="43" customWidth="1"/>
    <col min="772" max="772" width="11.6640625" style="43" bestFit="1" customWidth="1"/>
    <col min="773" max="773" width="5" style="43" customWidth="1"/>
    <col min="774" max="774" width="9.77734375" style="43" customWidth="1"/>
    <col min="775" max="775" width="5.88671875" style="43" customWidth="1"/>
    <col min="776" max="776" width="5.6640625" style="43" customWidth="1"/>
    <col min="777" max="777" width="7.44140625" style="43" customWidth="1"/>
    <col min="778" max="778" width="6.88671875" style="43" customWidth="1"/>
    <col min="779" max="779" width="6" style="43" customWidth="1"/>
    <col min="780" max="780" width="8.33203125" style="43" customWidth="1"/>
    <col min="781" max="781" width="7.109375" style="43" customWidth="1"/>
    <col min="782" max="782" width="54.33203125" style="43" customWidth="1"/>
    <col min="783" max="783" width="11.33203125" style="43" customWidth="1"/>
    <col min="784" max="1024" width="9" style="43"/>
    <col min="1025" max="1025" width="11.6640625" style="43" bestFit="1" customWidth="1"/>
    <col min="1026" max="1026" width="9.33203125" style="43" customWidth="1"/>
    <col min="1027" max="1027" width="5.77734375" style="43" customWidth="1"/>
    <col min="1028" max="1028" width="11.6640625" style="43" bestFit="1" customWidth="1"/>
    <col min="1029" max="1029" width="5" style="43" customWidth="1"/>
    <col min="1030" max="1030" width="9.77734375" style="43" customWidth="1"/>
    <col min="1031" max="1031" width="5.88671875" style="43" customWidth="1"/>
    <col min="1032" max="1032" width="5.6640625" style="43" customWidth="1"/>
    <col min="1033" max="1033" width="7.44140625" style="43" customWidth="1"/>
    <col min="1034" max="1034" width="6.88671875" style="43" customWidth="1"/>
    <col min="1035" max="1035" width="6" style="43" customWidth="1"/>
    <col min="1036" max="1036" width="8.33203125" style="43" customWidth="1"/>
    <col min="1037" max="1037" width="7.109375" style="43" customWidth="1"/>
    <col min="1038" max="1038" width="54.33203125" style="43" customWidth="1"/>
    <col min="1039" max="1039" width="11.33203125" style="43" customWidth="1"/>
    <col min="1040" max="1280" width="9" style="43"/>
    <col min="1281" max="1281" width="11.6640625" style="43" bestFit="1" customWidth="1"/>
    <col min="1282" max="1282" width="9.33203125" style="43" customWidth="1"/>
    <col min="1283" max="1283" width="5.77734375" style="43" customWidth="1"/>
    <col min="1284" max="1284" width="11.6640625" style="43" bestFit="1" customWidth="1"/>
    <col min="1285" max="1285" width="5" style="43" customWidth="1"/>
    <col min="1286" max="1286" width="9.77734375" style="43" customWidth="1"/>
    <col min="1287" max="1287" width="5.88671875" style="43" customWidth="1"/>
    <col min="1288" max="1288" width="5.6640625" style="43" customWidth="1"/>
    <col min="1289" max="1289" width="7.44140625" style="43" customWidth="1"/>
    <col min="1290" max="1290" width="6.88671875" style="43" customWidth="1"/>
    <col min="1291" max="1291" width="6" style="43" customWidth="1"/>
    <col min="1292" max="1292" width="8.33203125" style="43" customWidth="1"/>
    <col min="1293" max="1293" width="7.109375" style="43" customWidth="1"/>
    <col min="1294" max="1294" width="54.33203125" style="43" customWidth="1"/>
    <col min="1295" max="1295" width="11.33203125" style="43" customWidth="1"/>
    <col min="1296" max="1536" width="9" style="43"/>
    <col min="1537" max="1537" width="11.6640625" style="43" bestFit="1" customWidth="1"/>
    <col min="1538" max="1538" width="9.33203125" style="43" customWidth="1"/>
    <col min="1539" max="1539" width="5.77734375" style="43" customWidth="1"/>
    <col min="1540" max="1540" width="11.6640625" style="43" bestFit="1" customWidth="1"/>
    <col min="1541" max="1541" width="5" style="43" customWidth="1"/>
    <col min="1542" max="1542" width="9.77734375" style="43" customWidth="1"/>
    <col min="1543" max="1543" width="5.88671875" style="43" customWidth="1"/>
    <col min="1544" max="1544" width="5.6640625" style="43" customWidth="1"/>
    <col min="1545" max="1545" width="7.44140625" style="43" customWidth="1"/>
    <col min="1546" max="1546" width="6.88671875" style="43" customWidth="1"/>
    <col min="1547" max="1547" width="6" style="43" customWidth="1"/>
    <col min="1548" max="1548" width="8.33203125" style="43" customWidth="1"/>
    <col min="1549" max="1549" width="7.109375" style="43" customWidth="1"/>
    <col min="1550" max="1550" width="54.33203125" style="43" customWidth="1"/>
    <col min="1551" max="1551" width="11.33203125" style="43" customWidth="1"/>
    <col min="1552" max="1792" width="9" style="43"/>
    <col min="1793" max="1793" width="11.6640625" style="43" bestFit="1" customWidth="1"/>
    <col min="1794" max="1794" width="9.33203125" style="43" customWidth="1"/>
    <col min="1795" max="1795" width="5.77734375" style="43" customWidth="1"/>
    <col min="1796" max="1796" width="11.6640625" style="43" bestFit="1" customWidth="1"/>
    <col min="1797" max="1797" width="5" style="43" customWidth="1"/>
    <col min="1798" max="1798" width="9.77734375" style="43" customWidth="1"/>
    <col min="1799" max="1799" width="5.88671875" style="43" customWidth="1"/>
    <col min="1800" max="1800" width="5.6640625" style="43" customWidth="1"/>
    <col min="1801" max="1801" width="7.44140625" style="43" customWidth="1"/>
    <col min="1802" max="1802" width="6.88671875" style="43" customWidth="1"/>
    <col min="1803" max="1803" width="6" style="43" customWidth="1"/>
    <col min="1804" max="1804" width="8.33203125" style="43" customWidth="1"/>
    <col min="1805" max="1805" width="7.109375" style="43" customWidth="1"/>
    <col min="1806" max="1806" width="54.33203125" style="43" customWidth="1"/>
    <col min="1807" max="1807" width="11.33203125" style="43" customWidth="1"/>
    <col min="1808" max="2048" width="9" style="43"/>
    <col min="2049" max="2049" width="11.6640625" style="43" bestFit="1" customWidth="1"/>
    <col min="2050" max="2050" width="9.33203125" style="43" customWidth="1"/>
    <col min="2051" max="2051" width="5.77734375" style="43" customWidth="1"/>
    <col min="2052" max="2052" width="11.6640625" style="43" bestFit="1" customWidth="1"/>
    <col min="2053" max="2053" width="5" style="43" customWidth="1"/>
    <col min="2054" max="2054" width="9.77734375" style="43" customWidth="1"/>
    <col min="2055" max="2055" width="5.88671875" style="43" customWidth="1"/>
    <col min="2056" max="2056" width="5.6640625" style="43" customWidth="1"/>
    <col min="2057" max="2057" width="7.44140625" style="43" customWidth="1"/>
    <col min="2058" max="2058" width="6.88671875" style="43" customWidth="1"/>
    <col min="2059" max="2059" width="6" style="43" customWidth="1"/>
    <col min="2060" max="2060" width="8.33203125" style="43" customWidth="1"/>
    <col min="2061" max="2061" width="7.109375" style="43" customWidth="1"/>
    <col min="2062" max="2062" width="54.33203125" style="43" customWidth="1"/>
    <col min="2063" max="2063" width="11.33203125" style="43" customWidth="1"/>
    <col min="2064" max="2304" width="9" style="43"/>
    <col min="2305" max="2305" width="11.6640625" style="43" bestFit="1" customWidth="1"/>
    <col min="2306" max="2306" width="9.33203125" style="43" customWidth="1"/>
    <col min="2307" max="2307" width="5.77734375" style="43" customWidth="1"/>
    <col min="2308" max="2308" width="11.6640625" style="43" bestFit="1" customWidth="1"/>
    <col min="2309" max="2309" width="5" style="43" customWidth="1"/>
    <col min="2310" max="2310" width="9.77734375" style="43" customWidth="1"/>
    <col min="2311" max="2311" width="5.88671875" style="43" customWidth="1"/>
    <col min="2312" max="2312" width="5.6640625" style="43" customWidth="1"/>
    <col min="2313" max="2313" width="7.44140625" style="43" customWidth="1"/>
    <col min="2314" max="2314" width="6.88671875" style="43" customWidth="1"/>
    <col min="2315" max="2315" width="6" style="43" customWidth="1"/>
    <col min="2316" max="2316" width="8.33203125" style="43" customWidth="1"/>
    <col min="2317" max="2317" width="7.109375" style="43" customWidth="1"/>
    <col min="2318" max="2318" width="54.33203125" style="43" customWidth="1"/>
    <col min="2319" max="2319" width="11.33203125" style="43" customWidth="1"/>
    <col min="2320" max="2560" width="9" style="43"/>
    <col min="2561" max="2561" width="11.6640625" style="43" bestFit="1" customWidth="1"/>
    <col min="2562" max="2562" width="9.33203125" style="43" customWidth="1"/>
    <col min="2563" max="2563" width="5.77734375" style="43" customWidth="1"/>
    <col min="2564" max="2564" width="11.6640625" style="43" bestFit="1" customWidth="1"/>
    <col min="2565" max="2565" width="5" style="43" customWidth="1"/>
    <col min="2566" max="2566" width="9.77734375" style="43" customWidth="1"/>
    <col min="2567" max="2567" width="5.88671875" style="43" customWidth="1"/>
    <col min="2568" max="2568" width="5.6640625" style="43" customWidth="1"/>
    <col min="2569" max="2569" width="7.44140625" style="43" customWidth="1"/>
    <col min="2570" max="2570" width="6.88671875" style="43" customWidth="1"/>
    <col min="2571" max="2571" width="6" style="43" customWidth="1"/>
    <col min="2572" max="2572" width="8.33203125" style="43" customWidth="1"/>
    <col min="2573" max="2573" width="7.109375" style="43" customWidth="1"/>
    <col min="2574" max="2574" width="54.33203125" style="43" customWidth="1"/>
    <col min="2575" max="2575" width="11.33203125" style="43" customWidth="1"/>
    <col min="2576" max="2816" width="9" style="43"/>
    <col min="2817" max="2817" width="11.6640625" style="43" bestFit="1" customWidth="1"/>
    <col min="2818" max="2818" width="9.33203125" style="43" customWidth="1"/>
    <col min="2819" max="2819" width="5.77734375" style="43" customWidth="1"/>
    <col min="2820" max="2820" width="11.6640625" style="43" bestFit="1" customWidth="1"/>
    <col min="2821" max="2821" width="5" style="43" customWidth="1"/>
    <col min="2822" max="2822" width="9.77734375" style="43" customWidth="1"/>
    <col min="2823" max="2823" width="5.88671875" style="43" customWidth="1"/>
    <col min="2824" max="2824" width="5.6640625" style="43" customWidth="1"/>
    <col min="2825" max="2825" width="7.44140625" style="43" customWidth="1"/>
    <col min="2826" max="2826" width="6.88671875" style="43" customWidth="1"/>
    <col min="2827" max="2827" width="6" style="43" customWidth="1"/>
    <col min="2828" max="2828" width="8.33203125" style="43" customWidth="1"/>
    <col min="2829" max="2829" width="7.109375" style="43" customWidth="1"/>
    <col min="2830" max="2830" width="54.33203125" style="43" customWidth="1"/>
    <col min="2831" max="2831" width="11.33203125" style="43" customWidth="1"/>
    <col min="2832" max="3072" width="9" style="43"/>
    <col min="3073" max="3073" width="11.6640625" style="43" bestFit="1" customWidth="1"/>
    <col min="3074" max="3074" width="9.33203125" style="43" customWidth="1"/>
    <col min="3075" max="3075" width="5.77734375" style="43" customWidth="1"/>
    <col min="3076" max="3076" width="11.6640625" style="43" bestFit="1" customWidth="1"/>
    <col min="3077" max="3077" width="5" style="43" customWidth="1"/>
    <col min="3078" max="3078" width="9.77734375" style="43" customWidth="1"/>
    <col min="3079" max="3079" width="5.88671875" style="43" customWidth="1"/>
    <col min="3080" max="3080" width="5.6640625" style="43" customWidth="1"/>
    <col min="3081" max="3081" width="7.44140625" style="43" customWidth="1"/>
    <col min="3082" max="3082" width="6.88671875" style="43" customWidth="1"/>
    <col min="3083" max="3083" width="6" style="43" customWidth="1"/>
    <col min="3084" max="3084" width="8.33203125" style="43" customWidth="1"/>
    <col min="3085" max="3085" width="7.109375" style="43" customWidth="1"/>
    <col min="3086" max="3086" width="54.33203125" style="43" customWidth="1"/>
    <col min="3087" max="3087" width="11.33203125" style="43" customWidth="1"/>
    <col min="3088" max="3328" width="9" style="43"/>
    <col min="3329" max="3329" width="11.6640625" style="43" bestFit="1" customWidth="1"/>
    <col min="3330" max="3330" width="9.33203125" style="43" customWidth="1"/>
    <col min="3331" max="3331" width="5.77734375" style="43" customWidth="1"/>
    <col min="3332" max="3332" width="11.6640625" style="43" bestFit="1" customWidth="1"/>
    <col min="3333" max="3333" width="5" style="43" customWidth="1"/>
    <col min="3334" max="3334" width="9.77734375" style="43" customWidth="1"/>
    <col min="3335" max="3335" width="5.88671875" style="43" customWidth="1"/>
    <col min="3336" max="3336" width="5.6640625" style="43" customWidth="1"/>
    <col min="3337" max="3337" width="7.44140625" style="43" customWidth="1"/>
    <col min="3338" max="3338" width="6.88671875" style="43" customWidth="1"/>
    <col min="3339" max="3339" width="6" style="43" customWidth="1"/>
    <col min="3340" max="3340" width="8.33203125" style="43" customWidth="1"/>
    <col min="3341" max="3341" width="7.109375" style="43" customWidth="1"/>
    <col min="3342" max="3342" width="54.33203125" style="43" customWidth="1"/>
    <col min="3343" max="3343" width="11.33203125" style="43" customWidth="1"/>
    <col min="3344" max="3584" width="9" style="43"/>
    <col min="3585" max="3585" width="11.6640625" style="43" bestFit="1" customWidth="1"/>
    <col min="3586" max="3586" width="9.33203125" style="43" customWidth="1"/>
    <col min="3587" max="3587" width="5.77734375" style="43" customWidth="1"/>
    <col min="3588" max="3588" width="11.6640625" style="43" bestFit="1" customWidth="1"/>
    <col min="3589" max="3589" width="5" style="43" customWidth="1"/>
    <col min="3590" max="3590" width="9.77734375" style="43" customWidth="1"/>
    <col min="3591" max="3591" width="5.88671875" style="43" customWidth="1"/>
    <col min="3592" max="3592" width="5.6640625" style="43" customWidth="1"/>
    <col min="3593" max="3593" width="7.44140625" style="43" customWidth="1"/>
    <col min="3594" max="3594" width="6.88671875" style="43" customWidth="1"/>
    <col min="3595" max="3595" width="6" style="43" customWidth="1"/>
    <col min="3596" max="3596" width="8.33203125" style="43" customWidth="1"/>
    <col min="3597" max="3597" width="7.109375" style="43" customWidth="1"/>
    <col min="3598" max="3598" width="54.33203125" style="43" customWidth="1"/>
    <col min="3599" max="3599" width="11.33203125" style="43" customWidth="1"/>
    <col min="3600" max="3840" width="9" style="43"/>
    <col min="3841" max="3841" width="11.6640625" style="43" bestFit="1" customWidth="1"/>
    <col min="3842" max="3842" width="9.33203125" style="43" customWidth="1"/>
    <col min="3843" max="3843" width="5.77734375" style="43" customWidth="1"/>
    <col min="3844" max="3844" width="11.6640625" style="43" bestFit="1" customWidth="1"/>
    <col min="3845" max="3845" width="5" style="43" customWidth="1"/>
    <col min="3846" max="3846" width="9.77734375" style="43" customWidth="1"/>
    <col min="3847" max="3847" width="5.88671875" style="43" customWidth="1"/>
    <col min="3848" max="3848" width="5.6640625" style="43" customWidth="1"/>
    <col min="3849" max="3849" width="7.44140625" style="43" customWidth="1"/>
    <col min="3850" max="3850" width="6.88671875" style="43" customWidth="1"/>
    <col min="3851" max="3851" width="6" style="43" customWidth="1"/>
    <col min="3852" max="3852" width="8.33203125" style="43" customWidth="1"/>
    <col min="3853" max="3853" width="7.109375" style="43" customWidth="1"/>
    <col min="3854" max="3854" width="54.33203125" style="43" customWidth="1"/>
    <col min="3855" max="3855" width="11.33203125" style="43" customWidth="1"/>
    <col min="3856" max="4096" width="9" style="43"/>
    <col min="4097" max="4097" width="11.6640625" style="43" bestFit="1" customWidth="1"/>
    <col min="4098" max="4098" width="9.33203125" style="43" customWidth="1"/>
    <col min="4099" max="4099" width="5.77734375" style="43" customWidth="1"/>
    <col min="4100" max="4100" width="11.6640625" style="43" bestFit="1" customWidth="1"/>
    <col min="4101" max="4101" width="5" style="43" customWidth="1"/>
    <col min="4102" max="4102" width="9.77734375" style="43" customWidth="1"/>
    <col min="4103" max="4103" width="5.88671875" style="43" customWidth="1"/>
    <col min="4104" max="4104" width="5.6640625" style="43" customWidth="1"/>
    <col min="4105" max="4105" width="7.44140625" style="43" customWidth="1"/>
    <col min="4106" max="4106" width="6.88671875" style="43" customWidth="1"/>
    <col min="4107" max="4107" width="6" style="43" customWidth="1"/>
    <col min="4108" max="4108" width="8.33203125" style="43" customWidth="1"/>
    <col min="4109" max="4109" width="7.109375" style="43" customWidth="1"/>
    <col min="4110" max="4110" width="54.33203125" style="43" customWidth="1"/>
    <col min="4111" max="4111" width="11.33203125" style="43" customWidth="1"/>
    <col min="4112" max="4352" width="9" style="43"/>
    <col min="4353" max="4353" width="11.6640625" style="43" bestFit="1" customWidth="1"/>
    <col min="4354" max="4354" width="9.33203125" style="43" customWidth="1"/>
    <col min="4355" max="4355" width="5.77734375" style="43" customWidth="1"/>
    <col min="4356" max="4356" width="11.6640625" style="43" bestFit="1" customWidth="1"/>
    <col min="4357" max="4357" width="5" style="43" customWidth="1"/>
    <col min="4358" max="4358" width="9.77734375" style="43" customWidth="1"/>
    <col min="4359" max="4359" width="5.88671875" style="43" customWidth="1"/>
    <col min="4360" max="4360" width="5.6640625" style="43" customWidth="1"/>
    <col min="4361" max="4361" width="7.44140625" style="43" customWidth="1"/>
    <col min="4362" max="4362" width="6.88671875" style="43" customWidth="1"/>
    <col min="4363" max="4363" width="6" style="43" customWidth="1"/>
    <col min="4364" max="4364" width="8.33203125" style="43" customWidth="1"/>
    <col min="4365" max="4365" width="7.109375" style="43" customWidth="1"/>
    <col min="4366" max="4366" width="54.33203125" style="43" customWidth="1"/>
    <col min="4367" max="4367" width="11.33203125" style="43" customWidth="1"/>
    <col min="4368" max="4608" width="9" style="43"/>
    <col min="4609" max="4609" width="11.6640625" style="43" bestFit="1" customWidth="1"/>
    <col min="4610" max="4610" width="9.33203125" style="43" customWidth="1"/>
    <col min="4611" max="4611" width="5.77734375" style="43" customWidth="1"/>
    <col min="4612" max="4612" width="11.6640625" style="43" bestFit="1" customWidth="1"/>
    <col min="4613" max="4613" width="5" style="43" customWidth="1"/>
    <col min="4614" max="4614" width="9.77734375" style="43" customWidth="1"/>
    <col min="4615" max="4615" width="5.88671875" style="43" customWidth="1"/>
    <col min="4616" max="4616" width="5.6640625" style="43" customWidth="1"/>
    <col min="4617" max="4617" width="7.44140625" style="43" customWidth="1"/>
    <col min="4618" max="4618" width="6.88671875" style="43" customWidth="1"/>
    <col min="4619" max="4619" width="6" style="43" customWidth="1"/>
    <col min="4620" max="4620" width="8.33203125" style="43" customWidth="1"/>
    <col min="4621" max="4621" width="7.109375" style="43" customWidth="1"/>
    <col min="4622" max="4622" width="54.33203125" style="43" customWidth="1"/>
    <col min="4623" max="4623" width="11.33203125" style="43" customWidth="1"/>
    <col min="4624" max="4864" width="9" style="43"/>
    <col min="4865" max="4865" width="11.6640625" style="43" bestFit="1" customWidth="1"/>
    <col min="4866" max="4866" width="9.33203125" style="43" customWidth="1"/>
    <col min="4867" max="4867" width="5.77734375" style="43" customWidth="1"/>
    <col min="4868" max="4868" width="11.6640625" style="43" bestFit="1" customWidth="1"/>
    <col min="4869" max="4869" width="5" style="43" customWidth="1"/>
    <col min="4870" max="4870" width="9.77734375" style="43" customWidth="1"/>
    <col min="4871" max="4871" width="5.88671875" style="43" customWidth="1"/>
    <col min="4872" max="4872" width="5.6640625" style="43" customWidth="1"/>
    <col min="4873" max="4873" width="7.44140625" style="43" customWidth="1"/>
    <col min="4874" max="4874" width="6.88671875" style="43" customWidth="1"/>
    <col min="4875" max="4875" width="6" style="43" customWidth="1"/>
    <col min="4876" max="4876" width="8.33203125" style="43" customWidth="1"/>
    <col min="4877" max="4877" width="7.109375" style="43" customWidth="1"/>
    <col min="4878" max="4878" width="54.33203125" style="43" customWidth="1"/>
    <col min="4879" max="4879" width="11.33203125" style="43" customWidth="1"/>
    <col min="4880" max="5120" width="9" style="43"/>
    <col min="5121" max="5121" width="11.6640625" style="43" bestFit="1" customWidth="1"/>
    <col min="5122" max="5122" width="9.33203125" style="43" customWidth="1"/>
    <col min="5123" max="5123" width="5.77734375" style="43" customWidth="1"/>
    <col min="5124" max="5124" width="11.6640625" style="43" bestFit="1" customWidth="1"/>
    <col min="5125" max="5125" width="5" style="43" customWidth="1"/>
    <col min="5126" max="5126" width="9.77734375" style="43" customWidth="1"/>
    <col min="5127" max="5127" width="5.88671875" style="43" customWidth="1"/>
    <col min="5128" max="5128" width="5.6640625" style="43" customWidth="1"/>
    <col min="5129" max="5129" width="7.44140625" style="43" customWidth="1"/>
    <col min="5130" max="5130" width="6.88671875" style="43" customWidth="1"/>
    <col min="5131" max="5131" width="6" style="43" customWidth="1"/>
    <col min="5132" max="5132" width="8.33203125" style="43" customWidth="1"/>
    <col min="5133" max="5133" width="7.109375" style="43" customWidth="1"/>
    <col min="5134" max="5134" width="54.33203125" style="43" customWidth="1"/>
    <col min="5135" max="5135" width="11.33203125" style="43" customWidth="1"/>
    <col min="5136" max="5376" width="9" style="43"/>
    <col min="5377" max="5377" width="11.6640625" style="43" bestFit="1" customWidth="1"/>
    <col min="5378" max="5378" width="9.33203125" style="43" customWidth="1"/>
    <col min="5379" max="5379" width="5.77734375" style="43" customWidth="1"/>
    <col min="5380" max="5380" width="11.6640625" style="43" bestFit="1" customWidth="1"/>
    <col min="5381" max="5381" width="5" style="43" customWidth="1"/>
    <col min="5382" max="5382" width="9.77734375" style="43" customWidth="1"/>
    <col min="5383" max="5383" width="5.88671875" style="43" customWidth="1"/>
    <col min="5384" max="5384" width="5.6640625" style="43" customWidth="1"/>
    <col min="5385" max="5385" width="7.44140625" style="43" customWidth="1"/>
    <col min="5386" max="5386" width="6.88671875" style="43" customWidth="1"/>
    <col min="5387" max="5387" width="6" style="43" customWidth="1"/>
    <col min="5388" max="5388" width="8.33203125" style="43" customWidth="1"/>
    <col min="5389" max="5389" width="7.109375" style="43" customWidth="1"/>
    <col min="5390" max="5390" width="54.33203125" style="43" customWidth="1"/>
    <col min="5391" max="5391" width="11.33203125" style="43" customWidth="1"/>
    <col min="5392" max="5632" width="9" style="43"/>
    <col min="5633" max="5633" width="11.6640625" style="43" bestFit="1" customWidth="1"/>
    <col min="5634" max="5634" width="9.33203125" style="43" customWidth="1"/>
    <col min="5635" max="5635" width="5.77734375" style="43" customWidth="1"/>
    <col min="5636" max="5636" width="11.6640625" style="43" bestFit="1" customWidth="1"/>
    <col min="5637" max="5637" width="5" style="43" customWidth="1"/>
    <col min="5638" max="5638" width="9.77734375" style="43" customWidth="1"/>
    <col min="5639" max="5639" width="5.88671875" style="43" customWidth="1"/>
    <col min="5640" max="5640" width="5.6640625" style="43" customWidth="1"/>
    <col min="5641" max="5641" width="7.44140625" style="43" customWidth="1"/>
    <col min="5642" max="5642" width="6.88671875" style="43" customWidth="1"/>
    <col min="5643" max="5643" width="6" style="43" customWidth="1"/>
    <col min="5644" max="5644" width="8.33203125" style="43" customWidth="1"/>
    <col min="5645" max="5645" width="7.109375" style="43" customWidth="1"/>
    <col min="5646" max="5646" width="54.33203125" style="43" customWidth="1"/>
    <col min="5647" max="5647" width="11.33203125" style="43" customWidth="1"/>
    <col min="5648" max="5888" width="9" style="43"/>
    <col min="5889" max="5889" width="11.6640625" style="43" bestFit="1" customWidth="1"/>
    <col min="5890" max="5890" width="9.33203125" style="43" customWidth="1"/>
    <col min="5891" max="5891" width="5.77734375" style="43" customWidth="1"/>
    <col min="5892" max="5892" width="11.6640625" style="43" bestFit="1" customWidth="1"/>
    <col min="5893" max="5893" width="5" style="43" customWidth="1"/>
    <col min="5894" max="5894" width="9.77734375" style="43" customWidth="1"/>
    <col min="5895" max="5895" width="5.88671875" style="43" customWidth="1"/>
    <col min="5896" max="5896" width="5.6640625" style="43" customWidth="1"/>
    <col min="5897" max="5897" width="7.44140625" style="43" customWidth="1"/>
    <col min="5898" max="5898" width="6.88671875" style="43" customWidth="1"/>
    <col min="5899" max="5899" width="6" style="43" customWidth="1"/>
    <col min="5900" max="5900" width="8.33203125" style="43" customWidth="1"/>
    <col min="5901" max="5901" width="7.109375" style="43" customWidth="1"/>
    <col min="5902" max="5902" width="54.33203125" style="43" customWidth="1"/>
    <col min="5903" max="5903" width="11.33203125" style="43" customWidth="1"/>
    <col min="5904" max="6144" width="9" style="43"/>
    <col min="6145" max="6145" width="11.6640625" style="43" bestFit="1" customWidth="1"/>
    <col min="6146" max="6146" width="9.33203125" style="43" customWidth="1"/>
    <col min="6147" max="6147" width="5.77734375" style="43" customWidth="1"/>
    <col min="6148" max="6148" width="11.6640625" style="43" bestFit="1" customWidth="1"/>
    <col min="6149" max="6149" width="5" style="43" customWidth="1"/>
    <col min="6150" max="6150" width="9.77734375" style="43" customWidth="1"/>
    <col min="6151" max="6151" width="5.88671875" style="43" customWidth="1"/>
    <col min="6152" max="6152" width="5.6640625" style="43" customWidth="1"/>
    <col min="6153" max="6153" width="7.44140625" style="43" customWidth="1"/>
    <col min="6154" max="6154" width="6.88671875" style="43" customWidth="1"/>
    <col min="6155" max="6155" width="6" style="43" customWidth="1"/>
    <col min="6156" max="6156" width="8.33203125" style="43" customWidth="1"/>
    <col min="6157" max="6157" width="7.109375" style="43" customWidth="1"/>
    <col min="6158" max="6158" width="54.33203125" style="43" customWidth="1"/>
    <col min="6159" max="6159" width="11.33203125" style="43" customWidth="1"/>
    <col min="6160" max="6400" width="9" style="43"/>
    <col min="6401" max="6401" width="11.6640625" style="43" bestFit="1" customWidth="1"/>
    <col min="6402" max="6402" width="9.33203125" style="43" customWidth="1"/>
    <col min="6403" max="6403" width="5.77734375" style="43" customWidth="1"/>
    <col min="6404" max="6404" width="11.6640625" style="43" bestFit="1" customWidth="1"/>
    <col min="6405" max="6405" width="5" style="43" customWidth="1"/>
    <col min="6406" max="6406" width="9.77734375" style="43" customWidth="1"/>
    <col min="6407" max="6407" width="5.88671875" style="43" customWidth="1"/>
    <col min="6408" max="6408" width="5.6640625" style="43" customWidth="1"/>
    <col min="6409" max="6409" width="7.44140625" style="43" customWidth="1"/>
    <col min="6410" max="6410" width="6.88671875" style="43" customWidth="1"/>
    <col min="6411" max="6411" width="6" style="43" customWidth="1"/>
    <col min="6412" max="6412" width="8.33203125" style="43" customWidth="1"/>
    <col min="6413" max="6413" width="7.109375" style="43" customWidth="1"/>
    <col min="6414" max="6414" width="54.33203125" style="43" customWidth="1"/>
    <col min="6415" max="6415" width="11.33203125" style="43" customWidth="1"/>
    <col min="6416" max="6656" width="9" style="43"/>
    <col min="6657" max="6657" width="11.6640625" style="43" bestFit="1" customWidth="1"/>
    <col min="6658" max="6658" width="9.33203125" style="43" customWidth="1"/>
    <col min="6659" max="6659" width="5.77734375" style="43" customWidth="1"/>
    <col min="6660" max="6660" width="11.6640625" style="43" bestFit="1" customWidth="1"/>
    <col min="6661" max="6661" width="5" style="43" customWidth="1"/>
    <col min="6662" max="6662" width="9.77734375" style="43" customWidth="1"/>
    <col min="6663" max="6663" width="5.88671875" style="43" customWidth="1"/>
    <col min="6664" max="6664" width="5.6640625" style="43" customWidth="1"/>
    <col min="6665" max="6665" width="7.44140625" style="43" customWidth="1"/>
    <col min="6666" max="6666" width="6.88671875" style="43" customWidth="1"/>
    <col min="6667" max="6667" width="6" style="43" customWidth="1"/>
    <col min="6668" max="6668" width="8.33203125" style="43" customWidth="1"/>
    <col min="6669" max="6669" width="7.109375" style="43" customWidth="1"/>
    <col min="6670" max="6670" width="54.33203125" style="43" customWidth="1"/>
    <col min="6671" max="6671" width="11.33203125" style="43" customWidth="1"/>
    <col min="6672" max="6912" width="9" style="43"/>
    <col min="6913" max="6913" width="11.6640625" style="43" bestFit="1" customWidth="1"/>
    <col min="6914" max="6914" width="9.33203125" style="43" customWidth="1"/>
    <col min="6915" max="6915" width="5.77734375" style="43" customWidth="1"/>
    <col min="6916" max="6916" width="11.6640625" style="43" bestFit="1" customWidth="1"/>
    <col min="6917" max="6917" width="5" style="43" customWidth="1"/>
    <col min="6918" max="6918" width="9.77734375" style="43" customWidth="1"/>
    <col min="6919" max="6919" width="5.88671875" style="43" customWidth="1"/>
    <col min="6920" max="6920" width="5.6640625" style="43" customWidth="1"/>
    <col min="6921" max="6921" width="7.44140625" style="43" customWidth="1"/>
    <col min="6922" max="6922" width="6.88671875" style="43" customWidth="1"/>
    <col min="6923" max="6923" width="6" style="43" customWidth="1"/>
    <col min="6924" max="6924" width="8.33203125" style="43" customWidth="1"/>
    <col min="6925" max="6925" width="7.109375" style="43" customWidth="1"/>
    <col min="6926" max="6926" width="54.33203125" style="43" customWidth="1"/>
    <col min="6927" max="6927" width="11.33203125" style="43" customWidth="1"/>
    <col min="6928" max="7168" width="9" style="43"/>
    <col min="7169" max="7169" width="11.6640625" style="43" bestFit="1" customWidth="1"/>
    <col min="7170" max="7170" width="9.33203125" style="43" customWidth="1"/>
    <col min="7171" max="7171" width="5.77734375" style="43" customWidth="1"/>
    <col min="7172" max="7172" width="11.6640625" style="43" bestFit="1" customWidth="1"/>
    <col min="7173" max="7173" width="5" style="43" customWidth="1"/>
    <col min="7174" max="7174" width="9.77734375" style="43" customWidth="1"/>
    <col min="7175" max="7175" width="5.88671875" style="43" customWidth="1"/>
    <col min="7176" max="7176" width="5.6640625" style="43" customWidth="1"/>
    <col min="7177" max="7177" width="7.44140625" style="43" customWidth="1"/>
    <col min="7178" max="7178" width="6.88671875" style="43" customWidth="1"/>
    <col min="7179" max="7179" width="6" style="43" customWidth="1"/>
    <col min="7180" max="7180" width="8.33203125" style="43" customWidth="1"/>
    <col min="7181" max="7181" width="7.109375" style="43" customWidth="1"/>
    <col min="7182" max="7182" width="54.33203125" style="43" customWidth="1"/>
    <col min="7183" max="7183" width="11.33203125" style="43" customWidth="1"/>
    <col min="7184" max="7424" width="9" style="43"/>
    <col min="7425" max="7425" width="11.6640625" style="43" bestFit="1" customWidth="1"/>
    <col min="7426" max="7426" width="9.33203125" style="43" customWidth="1"/>
    <col min="7427" max="7427" width="5.77734375" style="43" customWidth="1"/>
    <col min="7428" max="7428" width="11.6640625" style="43" bestFit="1" customWidth="1"/>
    <col min="7429" max="7429" width="5" style="43" customWidth="1"/>
    <col min="7430" max="7430" width="9.77734375" style="43" customWidth="1"/>
    <col min="7431" max="7431" width="5.88671875" style="43" customWidth="1"/>
    <col min="7432" max="7432" width="5.6640625" style="43" customWidth="1"/>
    <col min="7433" max="7433" width="7.44140625" style="43" customWidth="1"/>
    <col min="7434" max="7434" width="6.88671875" style="43" customWidth="1"/>
    <col min="7435" max="7435" width="6" style="43" customWidth="1"/>
    <col min="7436" max="7436" width="8.33203125" style="43" customWidth="1"/>
    <col min="7437" max="7437" width="7.109375" style="43" customWidth="1"/>
    <col min="7438" max="7438" width="54.33203125" style="43" customWidth="1"/>
    <col min="7439" max="7439" width="11.33203125" style="43" customWidth="1"/>
    <col min="7440" max="7680" width="9" style="43"/>
    <col min="7681" max="7681" width="11.6640625" style="43" bestFit="1" customWidth="1"/>
    <col min="7682" max="7682" width="9.33203125" style="43" customWidth="1"/>
    <col min="7683" max="7683" width="5.77734375" style="43" customWidth="1"/>
    <col min="7684" max="7684" width="11.6640625" style="43" bestFit="1" customWidth="1"/>
    <col min="7685" max="7685" width="5" style="43" customWidth="1"/>
    <col min="7686" max="7686" width="9.77734375" style="43" customWidth="1"/>
    <col min="7687" max="7687" width="5.88671875" style="43" customWidth="1"/>
    <col min="7688" max="7688" width="5.6640625" style="43" customWidth="1"/>
    <col min="7689" max="7689" width="7.44140625" style="43" customWidth="1"/>
    <col min="7690" max="7690" width="6.88671875" style="43" customWidth="1"/>
    <col min="7691" max="7691" width="6" style="43" customWidth="1"/>
    <col min="7692" max="7692" width="8.33203125" style="43" customWidth="1"/>
    <col min="7693" max="7693" width="7.109375" style="43" customWidth="1"/>
    <col min="7694" max="7694" width="54.33203125" style="43" customWidth="1"/>
    <col min="7695" max="7695" width="11.33203125" style="43" customWidth="1"/>
    <col min="7696" max="7936" width="9" style="43"/>
    <col min="7937" max="7937" width="11.6640625" style="43" bestFit="1" customWidth="1"/>
    <col min="7938" max="7938" width="9.33203125" style="43" customWidth="1"/>
    <col min="7939" max="7939" width="5.77734375" style="43" customWidth="1"/>
    <col min="7940" max="7940" width="11.6640625" style="43" bestFit="1" customWidth="1"/>
    <col min="7941" max="7941" width="5" style="43" customWidth="1"/>
    <col min="7942" max="7942" width="9.77734375" style="43" customWidth="1"/>
    <col min="7943" max="7943" width="5.88671875" style="43" customWidth="1"/>
    <col min="7944" max="7944" width="5.6640625" style="43" customWidth="1"/>
    <col min="7945" max="7945" width="7.44140625" style="43" customWidth="1"/>
    <col min="7946" max="7946" width="6.88671875" style="43" customWidth="1"/>
    <col min="7947" max="7947" width="6" style="43" customWidth="1"/>
    <col min="7948" max="7948" width="8.33203125" style="43" customWidth="1"/>
    <col min="7949" max="7949" width="7.109375" style="43" customWidth="1"/>
    <col min="7950" max="7950" width="54.33203125" style="43" customWidth="1"/>
    <col min="7951" max="7951" width="11.33203125" style="43" customWidth="1"/>
    <col min="7952" max="8192" width="9" style="43"/>
    <col min="8193" max="8193" width="11.6640625" style="43" bestFit="1" customWidth="1"/>
    <col min="8194" max="8194" width="9.33203125" style="43" customWidth="1"/>
    <col min="8195" max="8195" width="5.77734375" style="43" customWidth="1"/>
    <col min="8196" max="8196" width="11.6640625" style="43" bestFit="1" customWidth="1"/>
    <col min="8197" max="8197" width="5" style="43" customWidth="1"/>
    <col min="8198" max="8198" width="9.77734375" style="43" customWidth="1"/>
    <col min="8199" max="8199" width="5.88671875" style="43" customWidth="1"/>
    <col min="8200" max="8200" width="5.6640625" style="43" customWidth="1"/>
    <col min="8201" max="8201" width="7.44140625" style="43" customWidth="1"/>
    <col min="8202" max="8202" width="6.88671875" style="43" customWidth="1"/>
    <col min="8203" max="8203" width="6" style="43" customWidth="1"/>
    <col min="8204" max="8204" width="8.33203125" style="43" customWidth="1"/>
    <col min="8205" max="8205" width="7.109375" style="43" customWidth="1"/>
    <col min="8206" max="8206" width="54.33203125" style="43" customWidth="1"/>
    <col min="8207" max="8207" width="11.33203125" style="43" customWidth="1"/>
    <col min="8208" max="8448" width="9" style="43"/>
    <col min="8449" max="8449" width="11.6640625" style="43" bestFit="1" customWidth="1"/>
    <col min="8450" max="8450" width="9.33203125" style="43" customWidth="1"/>
    <col min="8451" max="8451" width="5.77734375" style="43" customWidth="1"/>
    <col min="8452" max="8452" width="11.6640625" style="43" bestFit="1" customWidth="1"/>
    <col min="8453" max="8453" width="5" style="43" customWidth="1"/>
    <col min="8454" max="8454" width="9.77734375" style="43" customWidth="1"/>
    <col min="8455" max="8455" width="5.88671875" style="43" customWidth="1"/>
    <col min="8456" max="8456" width="5.6640625" style="43" customWidth="1"/>
    <col min="8457" max="8457" width="7.44140625" style="43" customWidth="1"/>
    <col min="8458" max="8458" width="6.88671875" style="43" customWidth="1"/>
    <col min="8459" max="8459" width="6" style="43" customWidth="1"/>
    <col min="8460" max="8460" width="8.33203125" style="43" customWidth="1"/>
    <col min="8461" max="8461" width="7.109375" style="43" customWidth="1"/>
    <col min="8462" max="8462" width="54.33203125" style="43" customWidth="1"/>
    <col min="8463" max="8463" width="11.33203125" style="43" customWidth="1"/>
    <col min="8464" max="8704" width="9" style="43"/>
    <col min="8705" max="8705" width="11.6640625" style="43" bestFit="1" customWidth="1"/>
    <col min="8706" max="8706" width="9.33203125" style="43" customWidth="1"/>
    <col min="8707" max="8707" width="5.77734375" style="43" customWidth="1"/>
    <col min="8708" max="8708" width="11.6640625" style="43" bestFit="1" customWidth="1"/>
    <col min="8709" max="8709" width="5" style="43" customWidth="1"/>
    <col min="8710" max="8710" width="9.77734375" style="43" customWidth="1"/>
    <col min="8711" max="8711" width="5.88671875" style="43" customWidth="1"/>
    <col min="8712" max="8712" width="5.6640625" style="43" customWidth="1"/>
    <col min="8713" max="8713" width="7.44140625" style="43" customWidth="1"/>
    <col min="8714" max="8714" width="6.88671875" style="43" customWidth="1"/>
    <col min="8715" max="8715" width="6" style="43" customWidth="1"/>
    <col min="8716" max="8716" width="8.33203125" style="43" customWidth="1"/>
    <col min="8717" max="8717" width="7.109375" style="43" customWidth="1"/>
    <col min="8718" max="8718" width="54.33203125" style="43" customWidth="1"/>
    <col min="8719" max="8719" width="11.33203125" style="43" customWidth="1"/>
    <col min="8720" max="8960" width="9" style="43"/>
    <col min="8961" max="8961" width="11.6640625" style="43" bestFit="1" customWidth="1"/>
    <col min="8962" max="8962" width="9.33203125" style="43" customWidth="1"/>
    <col min="8963" max="8963" width="5.77734375" style="43" customWidth="1"/>
    <col min="8964" max="8964" width="11.6640625" style="43" bestFit="1" customWidth="1"/>
    <col min="8965" max="8965" width="5" style="43" customWidth="1"/>
    <col min="8966" max="8966" width="9.77734375" style="43" customWidth="1"/>
    <col min="8967" max="8967" width="5.88671875" style="43" customWidth="1"/>
    <col min="8968" max="8968" width="5.6640625" style="43" customWidth="1"/>
    <col min="8969" max="8969" width="7.44140625" style="43" customWidth="1"/>
    <col min="8970" max="8970" width="6.88671875" style="43" customWidth="1"/>
    <col min="8971" max="8971" width="6" style="43" customWidth="1"/>
    <col min="8972" max="8972" width="8.33203125" style="43" customWidth="1"/>
    <col min="8973" max="8973" width="7.109375" style="43" customWidth="1"/>
    <col min="8974" max="8974" width="54.33203125" style="43" customWidth="1"/>
    <col min="8975" max="8975" width="11.33203125" style="43" customWidth="1"/>
    <col min="8976" max="9216" width="9" style="43"/>
    <col min="9217" max="9217" width="11.6640625" style="43" bestFit="1" customWidth="1"/>
    <col min="9218" max="9218" width="9.33203125" style="43" customWidth="1"/>
    <col min="9219" max="9219" width="5.77734375" style="43" customWidth="1"/>
    <col min="9220" max="9220" width="11.6640625" style="43" bestFit="1" customWidth="1"/>
    <col min="9221" max="9221" width="5" style="43" customWidth="1"/>
    <col min="9222" max="9222" width="9.77734375" style="43" customWidth="1"/>
    <col min="9223" max="9223" width="5.88671875" style="43" customWidth="1"/>
    <col min="9224" max="9224" width="5.6640625" style="43" customWidth="1"/>
    <col min="9225" max="9225" width="7.44140625" style="43" customWidth="1"/>
    <col min="9226" max="9226" width="6.88671875" style="43" customWidth="1"/>
    <col min="9227" max="9227" width="6" style="43" customWidth="1"/>
    <col min="9228" max="9228" width="8.33203125" style="43" customWidth="1"/>
    <col min="9229" max="9229" width="7.109375" style="43" customWidth="1"/>
    <col min="9230" max="9230" width="54.33203125" style="43" customWidth="1"/>
    <col min="9231" max="9231" width="11.33203125" style="43" customWidth="1"/>
    <col min="9232" max="9472" width="9" style="43"/>
    <col min="9473" max="9473" width="11.6640625" style="43" bestFit="1" customWidth="1"/>
    <col min="9474" max="9474" width="9.33203125" style="43" customWidth="1"/>
    <col min="9475" max="9475" width="5.77734375" style="43" customWidth="1"/>
    <col min="9476" max="9476" width="11.6640625" style="43" bestFit="1" customWidth="1"/>
    <col min="9477" max="9477" width="5" style="43" customWidth="1"/>
    <col min="9478" max="9478" width="9.77734375" style="43" customWidth="1"/>
    <col min="9479" max="9479" width="5.88671875" style="43" customWidth="1"/>
    <col min="9480" max="9480" width="5.6640625" style="43" customWidth="1"/>
    <col min="9481" max="9481" width="7.44140625" style="43" customWidth="1"/>
    <col min="9482" max="9482" width="6.88671875" style="43" customWidth="1"/>
    <col min="9483" max="9483" width="6" style="43" customWidth="1"/>
    <col min="9484" max="9484" width="8.33203125" style="43" customWidth="1"/>
    <col min="9485" max="9485" width="7.109375" style="43" customWidth="1"/>
    <col min="9486" max="9486" width="54.33203125" style="43" customWidth="1"/>
    <col min="9487" max="9487" width="11.33203125" style="43" customWidth="1"/>
    <col min="9488" max="9728" width="9" style="43"/>
    <col min="9729" max="9729" width="11.6640625" style="43" bestFit="1" customWidth="1"/>
    <col min="9730" max="9730" width="9.33203125" style="43" customWidth="1"/>
    <col min="9731" max="9731" width="5.77734375" style="43" customWidth="1"/>
    <col min="9732" max="9732" width="11.6640625" style="43" bestFit="1" customWidth="1"/>
    <col min="9733" max="9733" width="5" style="43" customWidth="1"/>
    <col min="9734" max="9734" width="9.77734375" style="43" customWidth="1"/>
    <col min="9735" max="9735" width="5.88671875" style="43" customWidth="1"/>
    <col min="9736" max="9736" width="5.6640625" style="43" customWidth="1"/>
    <col min="9737" max="9737" width="7.44140625" style="43" customWidth="1"/>
    <col min="9738" max="9738" width="6.88671875" style="43" customWidth="1"/>
    <col min="9739" max="9739" width="6" style="43" customWidth="1"/>
    <col min="9740" max="9740" width="8.33203125" style="43" customWidth="1"/>
    <col min="9741" max="9741" width="7.109375" style="43" customWidth="1"/>
    <col min="9742" max="9742" width="54.33203125" style="43" customWidth="1"/>
    <col min="9743" max="9743" width="11.33203125" style="43" customWidth="1"/>
    <col min="9744" max="9984" width="9" style="43"/>
    <col min="9985" max="9985" width="11.6640625" style="43" bestFit="1" customWidth="1"/>
    <col min="9986" max="9986" width="9.33203125" style="43" customWidth="1"/>
    <col min="9987" max="9987" width="5.77734375" style="43" customWidth="1"/>
    <col min="9988" max="9988" width="11.6640625" style="43" bestFit="1" customWidth="1"/>
    <col min="9989" max="9989" width="5" style="43" customWidth="1"/>
    <col min="9990" max="9990" width="9.77734375" style="43" customWidth="1"/>
    <col min="9991" max="9991" width="5.88671875" style="43" customWidth="1"/>
    <col min="9992" max="9992" width="5.6640625" style="43" customWidth="1"/>
    <col min="9993" max="9993" width="7.44140625" style="43" customWidth="1"/>
    <col min="9994" max="9994" width="6.88671875" style="43" customWidth="1"/>
    <col min="9995" max="9995" width="6" style="43" customWidth="1"/>
    <col min="9996" max="9996" width="8.33203125" style="43" customWidth="1"/>
    <col min="9997" max="9997" width="7.109375" style="43" customWidth="1"/>
    <col min="9998" max="9998" width="54.33203125" style="43" customWidth="1"/>
    <col min="9999" max="9999" width="11.33203125" style="43" customWidth="1"/>
    <col min="10000" max="10240" width="9" style="43"/>
    <col min="10241" max="10241" width="11.6640625" style="43" bestFit="1" customWidth="1"/>
    <col min="10242" max="10242" width="9.33203125" style="43" customWidth="1"/>
    <col min="10243" max="10243" width="5.77734375" style="43" customWidth="1"/>
    <col min="10244" max="10244" width="11.6640625" style="43" bestFit="1" customWidth="1"/>
    <col min="10245" max="10245" width="5" style="43" customWidth="1"/>
    <col min="10246" max="10246" width="9.77734375" style="43" customWidth="1"/>
    <col min="10247" max="10247" width="5.88671875" style="43" customWidth="1"/>
    <col min="10248" max="10248" width="5.6640625" style="43" customWidth="1"/>
    <col min="10249" max="10249" width="7.44140625" style="43" customWidth="1"/>
    <col min="10250" max="10250" width="6.88671875" style="43" customWidth="1"/>
    <col min="10251" max="10251" width="6" style="43" customWidth="1"/>
    <col min="10252" max="10252" width="8.33203125" style="43" customWidth="1"/>
    <col min="10253" max="10253" width="7.109375" style="43" customWidth="1"/>
    <col min="10254" max="10254" width="54.33203125" style="43" customWidth="1"/>
    <col min="10255" max="10255" width="11.33203125" style="43" customWidth="1"/>
    <col min="10256" max="10496" width="9" style="43"/>
    <col min="10497" max="10497" width="11.6640625" style="43" bestFit="1" customWidth="1"/>
    <col min="10498" max="10498" width="9.33203125" style="43" customWidth="1"/>
    <col min="10499" max="10499" width="5.77734375" style="43" customWidth="1"/>
    <col min="10500" max="10500" width="11.6640625" style="43" bestFit="1" customWidth="1"/>
    <col min="10501" max="10501" width="5" style="43" customWidth="1"/>
    <col min="10502" max="10502" width="9.77734375" style="43" customWidth="1"/>
    <col min="10503" max="10503" width="5.88671875" style="43" customWidth="1"/>
    <col min="10504" max="10504" width="5.6640625" style="43" customWidth="1"/>
    <col min="10505" max="10505" width="7.44140625" style="43" customWidth="1"/>
    <col min="10506" max="10506" width="6.88671875" style="43" customWidth="1"/>
    <col min="10507" max="10507" width="6" style="43" customWidth="1"/>
    <col min="10508" max="10508" width="8.33203125" style="43" customWidth="1"/>
    <col min="10509" max="10509" width="7.109375" style="43" customWidth="1"/>
    <col min="10510" max="10510" width="54.33203125" style="43" customWidth="1"/>
    <col min="10511" max="10511" width="11.33203125" style="43" customWidth="1"/>
    <col min="10512" max="10752" width="9" style="43"/>
    <col min="10753" max="10753" width="11.6640625" style="43" bestFit="1" customWidth="1"/>
    <col min="10754" max="10754" width="9.33203125" style="43" customWidth="1"/>
    <col min="10755" max="10755" width="5.77734375" style="43" customWidth="1"/>
    <col min="10756" max="10756" width="11.6640625" style="43" bestFit="1" customWidth="1"/>
    <col min="10757" max="10757" width="5" style="43" customWidth="1"/>
    <col min="10758" max="10758" width="9.77734375" style="43" customWidth="1"/>
    <col min="10759" max="10759" width="5.88671875" style="43" customWidth="1"/>
    <col min="10760" max="10760" width="5.6640625" style="43" customWidth="1"/>
    <col min="10761" max="10761" width="7.44140625" style="43" customWidth="1"/>
    <col min="10762" max="10762" width="6.88671875" style="43" customWidth="1"/>
    <col min="10763" max="10763" width="6" style="43" customWidth="1"/>
    <col min="10764" max="10764" width="8.33203125" style="43" customWidth="1"/>
    <col min="10765" max="10765" width="7.109375" style="43" customWidth="1"/>
    <col min="10766" max="10766" width="54.33203125" style="43" customWidth="1"/>
    <col min="10767" max="10767" width="11.33203125" style="43" customWidth="1"/>
    <col min="10768" max="11008" width="9" style="43"/>
    <col min="11009" max="11009" width="11.6640625" style="43" bestFit="1" customWidth="1"/>
    <col min="11010" max="11010" width="9.33203125" style="43" customWidth="1"/>
    <col min="11011" max="11011" width="5.77734375" style="43" customWidth="1"/>
    <col min="11012" max="11012" width="11.6640625" style="43" bestFit="1" customWidth="1"/>
    <col min="11013" max="11013" width="5" style="43" customWidth="1"/>
    <col min="11014" max="11014" width="9.77734375" style="43" customWidth="1"/>
    <col min="11015" max="11015" width="5.88671875" style="43" customWidth="1"/>
    <col min="11016" max="11016" width="5.6640625" style="43" customWidth="1"/>
    <col min="11017" max="11017" width="7.44140625" style="43" customWidth="1"/>
    <col min="11018" max="11018" width="6.88671875" style="43" customWidth="1"/>
    <col min="11019" max="11019" width="6" style="43" customWidth="1"/>
    <col min="11020" max="11020" width="8.33203125" style="43" customWidth="1"/>
    <col min="11021" max="11021" width="7.109375" style="43" customWidth="1"/>
    <col min="11022" max="11022" width="54.33203125" style="43" customWidth="1"/>
    <col min="11023" max="11023" width="11.33203125" style="43" customWidth="1"/>
    <col min="11024" max="11264" width="9" style="43"/>
    <col min="11265" max="11265" width="11.6640625" style="43" bestFit="1" customWidth="1"/>
    <col min="11266" max="11266" width="9.33203125" style="43" customWidth="1"/>
    <col min="11267" max="11267" width="5.77734375" style="43" customWidth="1"/>
    <col min="11268" max="11268" width="11.6640625" style="43" bestFit="1" customWidth="1"/>
    <col min="11269" max="11269" width="5" style="43" customWidth="1"/>
    <col min="11270" max="11270" width="9.77734375" style="43" customWidth="1"/>
    <col min="11271" max="11271" width="5.88671875" style="43" customWidth="1"/>
    <col min="11272" max="11272" width="5.6640625" style="43" customWidth="1"/>
    <col min="11273" max="11273" width="7.44140625" style="43" customWidth="1"/>
    <col min="11274" max="11274" width="6.88671875" style="43" customWidth="1"/>
    <col min="11275" max="11275" width="6" style="43" customWidth="1"/>
    <col min="11276" max="11276" width="8.33203125" style="43" customWidth="1"/>
    <col min="11277" max="11277" width="7.109375" style="43" customWidth="1"/>
    <col min="11278" max="11278" width="54.33203125" style="43" customWidth="1"/>
    <col min="11279" max="11279" width="11.33203125" style="43" customWidth="1"/>
    <col min="11280" max="11520" width="9" style="43"/>
    <col min="11521" max="11521" width="11.6640625" style="43" bestFit="1" customWidth="1"/>
    <col min="11522" max="11522" width="9.33203125" style="43" customWidth="1"/>
    <col min="11523" max="11523" width="5.77734375" style="43" customWidth="1"/>
    <col min="11524" max="11524" width="11.6640625" style="43" bestFit="1" customWidth="1"/>
    <col min="11525" max="11525" width="5" style="43" customWidth="1"/>
    <col min="11526" max="11526" width="9.77734375" style="43" customWidth="1"/>
    <col min="11527" max="11527" width="5.88671875" style="43" customWidth="1"/>
    <col min="11528" max="11528" width="5.6640625" style="43" customWidth="1"/>
    <col min="11529" max="11529" width="7.44140625" style="43" customWidth="1"/>
    <col min="11530" max="11530" width="6.88671875" style="43" customWidth="1"/>
    <col min="11531" max="11531" width="6" style="43" customWidth="1"/>
    <col min="11532" max="11532" width="8.33203125" style="43" customWidth="1"/>
    <col min="11533" max="11533" width="7.109375" style="43" customWidth="1"/>
    <col min="11534" max="11534" width="54.33203125" style="43" customWidth="1"/>
    <col min="11535" max="11535" width="11.33203125" style="43" customWidth="1"/>
    <col min="11536" max="11776" width="9" style="43"/>
    <col min="11777" max="11777" width="11.6640625" style="43" bestFit="1" customWidth="1"/>
    <col min="11778" max="11778" width="9.33203125" style="43" customWidth="1"/>
    <col min="11779" max="11779" width="5.77734375" style="43" customWidth="1"/>
    <col min="11780" max="11780" width="11.6640625" style="43" bestFit="1" customWidth="1"/>
    <col min="11781" max="11781" width="5" style="43" customWidth="1"/>
    <col min="11782" max="11782" width="9.77734375" style="43" customWidth="1"/>
    <col min="11783" max="11783" width="5.88671875" style="43" customWidth="1"/>
    <col min="11784" max="11784" width="5.6640625" style="43" customWidth="1"/>
    <col min="11785" max="11785" width="7.44140625" style="43" customWidth="1"/>
    <col min="11786" max="11786" width="6.88671875" style="43" customWidth="1"/>
    <col min="11787" max="11787" width="6" style="43" customWidth="1"/>
    <col min="11788" max="11788" width="8.33203125" style="43" customWidth="1"/>
    <col min="11789" max="11789" width="7.109375" style="43" customWidth="1"/>
    <col min="11790" max="11790" width="54.33203125" style="43" customWidth="1"/>
    <col min="11791" max="11791" width="11.33203125" style="43" customWidth="1"/>
    <col min="11792" max="12032" width="9" style="43"/>
    <col min="12033" max="12033" width="11.6640625" style="43" bestFit="1" customWidth="1"/>
    <col min="12034" max="12034" width="9.33203125" style="43" customWidth="1"/>
    <col min="12035" max="12035" width="5.77734375" style="43" customWidth="1"/>
    <col min="12036" max="12036" width="11.6640625" style="43" bestFit="1" customWidth="1"/>
    <col min="12037" max="12037" width="5" style="43" customWidth="1"/>
    <col min="12038" max="12038" width="9.77734375" style="43" customWidth="1"/>
    <col min="12039" max="12039" width="5.88671875" style="43" customWidth="1"/>
    <col min="12040" max="12040" width="5.6640625" style="43" customWidth="1"/>
    <col min="12041" max="12041" width="7.44140625" style="43" customWidth="1"/>
    <col min="12042" max="12042" width="6.88671875" style="43" customWidth="1"/>
    <col min="12043" max="12043" width="6" style="43" customWidth="1"/>
    <col min="12044" max="12044" width="8.33203125" style="43" customWidth="1"/>
    <col min="12045" max="12045" width="7.109375" style="43" customWidth="1"/>
    <col min="12046" max="12046" width="54.33203125" style="43" customWidth="1"/>
    <col min="12047" max="12047" width="11.33203125" style="43" customWidth="1"/>
    <col min="12048" max="12288" width="9" style="43"/>
    <col min="12289" max="12289" width="11.6640625" style="43" bestFit="1" customWidth="1"/>
    <col min="12290" max="12290" width="9.33203125" style="43" customWidth="1"/>
    <col min="12291" max="12291" width="5.77734375" style="43" customWidth="1"/>
    <col min="12292" max="12292" width="11.6640625" style="43" bestFit="1" customWidth="1"/>
    <col min="12293" max="12293" width="5" style="43" customWidth="1"/>
    <col min="12294" max="12294" width="9.77734375" style="43" customWidth="1"/>
    <col min="12295" max="12295" width="5.88671875" style="43" customWidth="1"/>
    <col min="12296" max="12296" width="5.6640625" style="43" customWidth="1"/>
    <col min="12297" max="12297" width="7.44140625" style="43" customWidth="1"/>
    <col min="12298" max="12298" width="6.88671875" style="43" customWidth="1"/>
    <col min="12299" max="12299" width="6" style="43" customWidth="1"/>
    <col min="12300" max="12300" width="8.33203125" style="43" customWidth="1"/>
    <col min="12301" max="12301" width="7.109375" style="43" customWidth="1"/>
    <col min="12302" max="12302" width="54.33203125" style="43" customWidth="1"/>
    <col min="12303" max="12303" width="11.33203125" style="43" customWidth="1"/>
    <col min="12304" max="12544" width="9" style="43"/>
    <col min="12545" max="12545" width="11.6640625" style="43" bestFit="1" customWidth="1"/>
    <col min="12546" max="12546" width="9.33203125" style="43" customWidth="1"/>
    <col min="12547" max="12547" width="5.77734375" style="43" customWidth="1"/>
    <col min="12548" max="12548" width="11.6640625" style="43" bestFit="1" customWidth="1"/>
    <col min="12549" max="12549" width="5" style="43" customWidth="1"/>
    <col min="12550" max="12550" width="9.77734375" style="43" customWidth="1"/>
    <col min="12551" max="12551" width="5.88671875" style="43" customWidth="1"/>
    <col min="12552" max="12552" width="5.6640625" style="43" customWidth="1"/>
    <col min="12553" max="12553" width="7.44140625" style="43" customWidth="1"/>
    <col min="12554" max="12554" width="6.88671875" style="43" customWidth="1"/>
    <col min="12555" max="12555" width="6" style="43" customWidth="1"/>
    <col min="12556" max="12556" width="8.33203125" style="43" customWidth="1"/>
    <col min="12557" max="12557" width="7.109375" style="43" customWidth="1"/>
    <col min="12558" max="12558" width="54.33203125" style="43" customWidth="1"/>
    <col min="12559" max="12559" width="11.33203125" style="43" customWidth="1"/>
    <col min="12560" max="12800" width="9" style="43"/>
    <col min="12801" max="12801" width="11.6640625" style="43" bestFit="1" customWidth="1"/>
    <col min="12802" max="12802" width="9.33203125" style="43" customWidth="1"/>
    <col min="12803" max="12803" width="5.77734375" style="43" customWidth="1"/>
    <col min="12804" max="12804" width="11.6640625" style="43" bestFit="1" customWidth="1"/>
    <col min="12805" max="12805" width="5" style="43" customWidth="1"/>
    <col min="12806" max="12806" width="9.77734375" style="43" customWidth="1"/>
    <col min="12807" max="12807" width="5.88671875" style="43" customWidth="1"/>
    <col min="12808" max="12808" width="5.6640625" style="43" customWidth="1"/>
    <col min="12809" max="12809" width="7.44140625" style="43" customWidth="1"/>
    <col min="12810" max="12810" width="6.88671875" style="43" customWidth="1"/>
    <col min="12811" max="12811" width="6" style="43" customWidth="1"/>
    <col min="12812" max="12812" width="8.33203125" style="43" customWidth="1"/>
    <col min="12813" max="12813" width="7.109375" style="43" customWidth="1"/>
    <col min="12814" max="12814" width="54.33203125" style="43" customWidth="1"/>
    <col min="12815" max="12815" width="11.33203125" style="43" customWidth="1"/>
    <col min="12816" max="13056" width="9" style="43"/>
    <col min="13057" max="13057" width="11.6640625" style="43" bestFit="1" customWidth="1"/>
    <col min="13058" max="13058" width="9.33203125" style="43" customWidth="1"/>
    <col min="13059" max="13059" width="5.77734375" style="43" customWidth="1"/>
    <col min="13060" max="13060" width="11.6640625" style="43" bestFit="1" customWidth="1"/>
    <col min="13061" max="13061" width="5" style="43" customWidth="1"/>
    <col min="13062" max="13062" width="9.77734375" style="43" customWidth="1"/>
    <col min="13063" max="13063" width="5.88671875" style="43" customWidth="1"/>
    <col min="13064" max="13064" width="5.6640625" style="43" customWidth="1"/>
    <col min="13065" max="13065" width="7.44140625" style="43" customWidth="1"/>
    <col min="13066" max="13066" width="6.88671875" style="43" customWidth="1"/>
    <col min="13067" max="13067" width="6" style="43" customWidth="1"/>
    <col min="13068" max="13068" width="8.33203125" style="43" customWidth="1"/>
    <col min="13069" max="13069" width="7.109375" style="43" customWidth="1"/>
    <col min="13070" max="13070" width="54.33203125" style="43" customWidth="1"/>
    <col min="13071" max="13071" width="11.33203125" style="43" customWidth="1"/>
    <col min="13072" max="13312" width="9" style="43"/>
    <col min="13313" max="13313" width="11.6640625" style="43" bestFit="1" customWidth="1"/>
    <col min="13314" max="13314" width="9.33203125" style="43" customWidth="1"/>
    <col min="13315" max="13315" width="5.77734375" style="43" customWidth="1"/>
    <col min="13316" max="13316" width="11.6640625" style="43" bestFit="1" customWidth="1"/>
    <col min="13317" max="13317" width="5" style="43" customWidth="1"/>
    <col min="13318" max="13318" width="9.77734375" style="43" customWidth="1"/>
    <col min="13319" max="13319" width="5.88671875" style="43" customWidth="1"/>
    <col min="13320" max="13320" width="5.6640625" style="43" customWidth="1"/>
    <col min="13321" max="13321" width="7.44140625" style="43" customWidth="1"/>
    <col min="13322" max="13322" width="6.88671875" style="43" customWidth="1"/>
    <col min="13323" max="13323" width="6" style="43" customWidth="1"/>
    <col min="13324" max="13324" width="8.33203125" style="43" customWidth="1"/>
    <col min="13325" max="13325" width="7.109375" style="43" customWidth="1"/>
    <col min="13326" max="13326" width="54.33203125" style="43" customWidth="1"/>
    <col min="13327" max="13327" width="11.33203125" style="43" customWidth="1"/>
    <col min="13328" max="13568" width="9" style="43"/>
    <col min="13569" max="13569" width="11.6640625" style="43" bestFit="1" customWidth="1"/>
    <col min="13570" max="13570" width="9.33203125" style="43" customWidth="1"/>
    <col min="13571" max="13571" width="5.77734375" style="43" customWidth="1"/>
    <col min="13572" max="13572" width="11.6640625" style="43" bestFit="1" customWidth="1"/>
    <col min="13573" max="13573" width="5" style="43" customWidth="1"/>
    <col min="13574" max="13574" width="9.77734375" style="43" customWidth="1"/>
    <col min="13575" max="13575" width="5.88671875" style="43" customWidth="1"/>
    <col min="13576" max="13576" width="5.6640625" style="43" customWidth="1"/>
    <col min="13577" max="13577" width="7.44140625" style="43" customWidth="1"/>
    <col min="13578" max="13578" width="6.88671875" style="43" customWidth="1"/>
    <col min="13579" max="13579" width="6" style="43" customWidth="1"/>
    <col min="13580" max="13580" width="8.33203125" style="43" customWidth="1"/>
    <col min="13581" max="13581" width="7.109375" style="43" customWidth="1"/>
    <col min="13582" max="13582" width="54.33203125" style="43" customWidth="1"/>
    <col min="13583" max="13583" width="11.33203125" style="43" customWidth="1"/>
    <col min="13584" max="13824" width="9" style="43"/>
    <col min="13825" max="13825" width="11.6640625" style="43" bestFit="1" customWidth="1"/>
    <col min="13826" max="13826" width="9.33203125" style="43" customWidth="1"/>
    <col min="13827" max="13827" width="5.77734375" style="43" customWidth="1"/>
    <col min="13828" max="13828" width="11.6640625" style="43" bestFit="1" customWidth="1"/>
    <col min="13829" max="13829" width="5" style="43" customWidth="1"/>
    <col min="13830" max="13830" width="9.77734375" style="43" customWidth="1"/>
    <col min="13831" max="13831" width="5.88671875" style="43" customWidth="1"/>
    <col min="13832" max="13832" width="5.6640625" style="43" customWidth="1"/>
    <col min="13833" max="13833" width="7.44140625" style="43" customWidth="1"/>
    <col min="13834" max="13834" width="6.88671875" style="43" customWidth="1"/>
    <col min="13835" max="13835" width="6" style="43" customWidth="1"/>
    <col min="13836" max="13836" width="8.33203125" style="43" customWidth="1"/>
    <col min="13837" max="13837" width="7.109375" style="43" customWidth="1"/>
    <col min="13838" max="13838" width="54.33203125" style="43" customWidth="1"/>
    <col min="13839" max="13839" width="11.33203125" style="43" customWidth="1"/>
    <col min="13840" max="14080" width="9" style="43"/>
    <col min="14081" max="14081" width="11.6640625" style="43" bestFit="1" customWidth="1"/>
    <col min="14082" max="14082" width="9.33203125" style="43" customWidth="1"/>
    <col min="14083" max="14083" width="5.77734375" style="43" customWidth="1"/>
    <col min="14084" max="14084" width="11.6640625" style="43" bestFit="1" customWidth="1"/>
    <col min="14085" max="14085" width="5" style="43" customWidth="1"/>
    <col min="14086" max="14086" width="9.77734375" style="43" customWidth="1"/>
    <col min="14087" max="14087" width="5.88671875" style="43" customWidth="1"/>
    <col min="14088" max="14088" width="5.6640625" style="43" customWidth="1"/>
    <col min="14089" max="14089" width="7.44140625" style="43" customWidth="1"/>
    <col min="14090" max="14090" width="6.88671875" style="43" customWidth="1"/>
    <col min="14091" max="14091" width="6" style="43" customWidth="1"/>
    <col min="14092" max="14092" width="8.33203125" style="43" customWidth="1"/>
    <col min="14093" max="14093" width="7.109375" style="43" customWidth="1"/>
    <col min="14094" max="14094" width="54.33203125" style="43" customWidth="1"/>
    <col min="14095" max="14095" width="11.33203125" style="43" customWidth="1"/>
    <col min="14096" max="14336" width="9" style="43"/>
    <col min="14337" max="14337" width="11.6640625" style="43" bestFit="1" customWidth="1"/>
    <col min="14338" max="14338" width="9.33203125" style="43" customWidth="1"/>
    <col min="14339" max="14339" width="5.77734375" style="43" customWidth="1"/>
    <col min="14340" max="14340" width="11.6640625" style="43" bestFit="1" customWidth="1"/>
    <col min="14341" max="14341" width="5" style="43" customWidth="1"/>
    <col min="14342" max="14342" width="9.77734375" style="43" customWidth="1"/>
    <col min="14343" max="14343" width="5.88671875" style="43" customWidth="1"/>
    <col min="14344" max="14344" width="5.6640625" style="43" customWidth="1"/>
    <col min="14345" max="14345" width="7.44140625" style="43" customWidth="1"/>
    <col min="14346" max="14346" width="6.88671875" style="43" customWidth="1"/>
    <col min="14347" max="14347" width="6" style="43" customWidth="1"/>
    <col min="14348" max="14348" width="8.33203125" style="43" customWidth="1"/>
    <col min="14349" max="14349" width="7.109375" style="43" customWidth="1"/>
    <col min="14350" max="14350" width="54.33203125" style="43" customWidth="1"/>
    <col min="14351" max="14351" width="11.33203125" style="43" customWidth="1"/>
    <col min="14352" max="14592" width="9" style="43"/>
    <col min="14593" max="14593" width="11.6640625" style="43" bestFit="1" customWidth="1"/>
    <col min="14594" max="14594" width="9.33203125" style="43" customWidth="1"/>
    <col min="14595" max="14595" width="5.77734375" style="43" customWidth="1"/>
    <col min="14596" max="14596" width="11.6640625" style="43" bestFit="1" customWidth="1"/>
    <col min="14597" max="14597" width="5" style="43" customWidth="1"/>
    <col min="14598" max="14598" width="9.77734375" style="43" customWidth="1"/>
    <col min="14599" max="14599" width="5.88671875" style="43" customWidth="1"/>
    <col min="14600" max="14600" width="5.6640625" style="43" customWidth="1"/>
    <col min="14601" max="14601" width="7.44140625" style="43" customWidth="1"/>
    <col min="14602" max="14602" width="6.88671875" style="43" customWidth="1"/>
    <col min="14603" max="14603" width="6" style="43" customWidth="1"/>
    <col min="14604" max="14604" width="8.33203125" style="43" customWidth="1"/>
    <col min="14605" max="14605" width="7.109375" style="43" customWidth="1"/>
    <col min="14606" max="14606" width="54.33203125" style="43" customWidth="1"/>
    <col min="14607" max="14607" width="11.33203125" style="43" customWidth="1"/>
    <col min="14608" max="14848" width="9" style="43"/>
    <col min="14849" max="14849" width="11.6640625" style="43" bestFit="1" customWidth="1"/>
    <col min="14850" max="14850" width="9.33203125" style="43" customWidth="1"/>
    <col min="14851" max="14851" width="5.77734375" style="43" customWidth="1"/>
    <col min="14852" max="14852" width="11.6640625" style="43" bestFit="1" customWidth="1"/>
    <col min="14853" max="14853" width="5" style="43" customWidth="1"/>
    <col min="14854" max="14854" width="9.77734375" style="43" customWidth="1"/>
    <col min="14855" max="14855" width="5.88671875" style="43" customWidth="1"/>
    <col min="14856" max="14856" width="5.6640625" style="43" customWidth="1"/>
    <col min="14857" max="14857" width="7.44140625" style="43" customWidth="1"/>
    <col min="14858" max="14858" width="6.88671875" style="43" customWidth="1"/>
    <col min="14859" max="14859" width="6" style="43" customWidth="1"/>
    <col min="14860" max="14860" width="8.33203125" style="43" customWidth="1"/>
    <col min="14861" max="14861" width="7.109375" style="43" customWidth="1"/>
    <col min="14862" max="14862" width="54.33203125" style="43" customWidth="1"/>
    <col min="14863" max="14863" width="11.33203125" style="43" customWidth="1"/>
    <col min="14864" max="15104" width="9" style="43"/>
    <col min="15105" max="15105" width="11.6640625" style="43" bestFit="1" customWidth="1"/>
    <col min="15106" max="15106" width="9.33203125" style="43" customWidth="1"/>
    <col min="15107" max="15107" width="5.77734375" style="43" customWidth="1"/>
    <col min="15108" max="15108" width="11.6640625" style="43" bestFit="1" customWidth="1"/>
    <col min="15109" max="15109" width="5" style="43" customWidth="1"/>
    <col min="15110" max="15110" width="9.77734375" style="43" customWidth="1"/>
    <col min="15111" max="15111" width="5.88671875" style="43" customWidth="1"/>
    <col min="15112" max="15112" width="5.6640625" style="43" customWidth="1"/>
    <col min="15113" max="15113" width="7.44140625" style="43" customWidth="1"/>
    <col min="15114" max="15114" width="6.88671875" style="43" customWidth="1"/>
    <col min="15115" max="15115" width="6" style="43" customWidth="1"/>
    <col min="15116" max="15116" width="8.33203125" style="43" customWidth="1"/>
    <col min="15117" max="15117" width="7.109375" style="43" customWidth="1"/>
    <col min="15118" max="15118" width="54.33203125" style="43" customWidth="1"/>
    <col min="15119" max="15119" width="11.33203125" style="43" customWidth="1"/>
    <col min="15120" max="15360" width="9" style="43"/>
    <col min="15361" max="15361" width="11.6640625" style="43" bestFit="1" customWidth="1"/>
    <col min="15362" max="15362" width="9.33203125" style="43" customWidth="1"/>
    <col min="15363" max="15363" width="5.77734375" style="43" customWidth="1"/>
    <col min="15364" max="15364" width="11.6640625" style="43" bestFit="1" customWidth="1"/>
    <col min="15365" max="15365" width="5" style="43" customWidth="1"/>
    <col min="15366" max="15366" width="9.77734375" style="43" customWidth="1"/>
    <col min="15367" max="15367" width="5.88671875" style="43" customWidth="1"/>
    <col min="15368" max="15368" width="5.6640625" style="43" customWidth="1"/>
    <col min="15369" max="15369" width="7.44140625" style="43" customWidth="1"/>
    <col min="15370" max="15370" width="6.88671875" style="43" customWidth="1"/>
    <col min="15371" max="15371" width="6" style="43" customWidth="1"/>
    <col min="15372" max="15372" width="8.33203125" style="43" customWidth="1"/>
    <col min="15373" max="15373" width="7.109375" style="43" customWidth="1"/>
    <col min="15374" max="15374" width="54.33203125" style="43" customWidth="1"/>
    <col min="15375" max="15375" width="11.33203125" style="43" customWidth="1"/>
    <col min="15376" max="15616" width="9" style="43"/>
    <col min="15617" max="15617" width="11.6640625" style="43" bestFit="1" customWidth="1"/>
    <col min="15618" max="15618" width="9.33203125" style="43" customWidth="1"/>
    <col min="15619" max="15619" width="5.77734375" style="43" customWidth="1"/>
    <col min="15620" max="15620" width="11.6640625" style="43" bestFit="1" customWidth="1"/>
    <col min="15621" max="15621" width="5" style="43" customWidth="1"/>
    <col min="15622" max="15622" width="9.77734375" style="43" customWidth="1"/>
    <col min="15623" max="15623" width="5.88671875" style="43" customWidth="1"/>
    <col min="15624" max="15624" width="5.6640625" style="43" customWidth="1"/>
    <col min="15625" max="15625" width="7.44140625" style="43" customWidth="1"/>
    <col min="15626" max="15626" width="6.88671875" style="43" customWidth="1"/>
    <col min="15627" max="15627" width="6" style="43" customWidth="1"/>
    <col min="15628" max="15628" width="8.33203125" style="43" customWidth="1"/>
    <col min="15629" max="15629" width="7.109375" style="43" customWidth="1"/>
    <col min="15630" max="15630" width="54.33203125" style="43" customWidth="1"/>
    <col min="15631" max="15631" width="11.33203125" style="43" customWidth="1"/>
    <col min="15632" max="15872" width="9" style="43"/>
    <col min="15873" max="15873" width="11.6640625" style="43" bestFit="1" customWidth="1"/>
    <col min="15874" max="15874" width="9.33203125" style="43" customWidth="1"/>
    <col min="15875" max="15875" width="5.77734375" style="43" customWidth="1"/>
    <col min="15876" max="15876" width="11.6640625" style="43" bestFit="1" customWidth="1"/>
    <col min="15877" max="15877" width="5" style="43" customWidth="1"/>
    <col min="15878" max="15878" width="9.77734375" style="43" customWidth="1"/>
    <col min="15879" max="15879" width="5.88671875" style="43" customWidth="1"/>
    <col min="15880" max="15880" width="5.6640625" style="43" customWidth="1"/>
    <col min="15881" max="15881" width="7.44140625" style="43" customWidth="1"/>
    <col min="15882" max="15882" width="6.88671875" style="43" customWidth="1"/>
    <col min="15883" max="15883" width="6" style="43" customWidth="1"/>
    <col min="15884" max="15884" width="8.33203125" style="43" customWidth="1"/>
    <col min="15885" max="15885" width="7.109375" style="43" customWidth="1"/>
    <col min="15886" max="15886" width="54.33203125" style="43" customWidth="1"/>
    <col min="15887" max="15887" width="11.33203125" style="43" customWidth="1"/>
    <col min="15888" max="16128" width="9" style="43"/>
    <col min="16129" max="16129" width="11.6640625" style="43" bestFit="1" customWidth="1"/>
    <col min="16130" max="16130" width="9.33203125" style="43" customWidth="1"/>
    <col min="16131" max="16131" width="5.77734375" style="43" customWidth="1"/>
    <col min="16132" max="16132" width="11.6640625" style="43" bestFit="1" customWidth="1"/>
    <col min="16133" max="16133" width="5" style="43" customWidth="1"/>
    <col min="16134" max="16134" width="9.77734375" style="43" customWidth="1"/>
    <col min="16135" max="16135" width="5.88671875" style="43" customWidth="1"/>
    <col min="16136" max="16136" width="5.6640625" style="43" customWidth="1"/>
    <col min="16137" max="16137" width="7.44140625" style="43" customWidth="1"/>
    <col min="16138" max="16138" width="6.88671875" style="43" customWidth="1"/>
    <col min="16139" max="16139" width="6" style="43" customWidth="1"/>
    <col min="16140" max="16140" width="8.33203125" style="43" customWidth="1"/>
    <col min="16141" max="16141" width="7.109375" style="43" customWidth="1"/>
    <col min="16142" max="16142" width="54.33203125" style="43" customWidth="1"/>
    <col min="16143" max="16143" width="11.33203125" style="43" customWidth="1"/>
    <col min="16144" max="16384" width="9" style="43"/>
  </cols>
  <sheetData>
    <row r="1" spans="1:15" s="38" customFormat="1" ht="27.75" customHeight="1">
      <c r="A1" s="33" t="s">
        <v>37</v>
      </c>
      <c r="B1" s="34" t="s">
        <v>38</v>
      </c>
      <c r="C1" s="35"/>
      <c r="D1" s="35"/>
      <c r="E1" s="35"/>
      <c r="F1" s="35"/>
      <c r="G1" s="35"/>
      <c r="H1" s="35"/>
      <c r="I1" s="36"/>
      <c r="J1" s="36"/>
      <c r="K1" s="35"/>
      <c r="L1" s="35"/>
      <c r="M1" s="35"/>
      <c r="N1" s="37"/>
    </row>
    <row r="2" spans="1:15" ht="21" customHeight="1">
      <c r="A2" s="39" t="s">
        <v>59</v>
      </c>
      <c r="B2" s="64" t="s">
        <v>39</v>
      </c>
      <c r="C2" s="64"/>
      <c r="D2" s="65" t="s">
        <v>60</v>
      </c>
      <c r="E2" s="65"/>
      <c r="F2" s="65"/>
      <c r="G2" s="65"/>
      <c r="H2" s="65"/>
    </row>
    <row r="3" spans="1:15" s="35" customFormat="1" ht="32.25" customHeight="1">
      <c r="A3" s="33" t="s">
        <v>40</v>
      </c>
      <c r="B3" s="33" t="s">
        <v>2</v>
      </c>
      <c r="C3" s="33" t="s">
        <v>41</v>
      </c>
      <c r="D3" s="44" t="s">
        <v>42</v>
      </c>
      <c r="E3" s="44" t="s">
        <v>43</v>
      </c>
      <c r="F3" s="44" t="s">
        <v>44</v>
      </c>
      <c r="G3" s="44" t="s">
        <v>45</v>
      </c>
      <c r="H3" s="44" t="s">
        <v>46</v>
      </c>
      <c r="I3" s="45" t="s">
        <v>47</v>
      </c>
      <c r="J3" s="45" t="s">
        <v>48</v>
      </c>
      <c r="K3" s="44" t="s">
        <v>49</v>
      </c>
      <c r="L3" s="44" t="s">
        <v>50</v>
      </c>
      <c r="M3" s="44" t="s">
        <v>51</v>
      </c>
      <c r="N3" s="46" t="s">
        <v>52</v>
      </c>
      <c r="O3" s="46" t="s">
        <v>53</v>
      </c>
    </row>
    <row r="4" spans="1:15" s="52" customFormat="1">
      <c r="A4" s="47">
        <v>1</v>
      </c>
      <c r="B4" s="48">
        <v>20231010</v>
      </c>
      <c r="C4" s="47"/>
      <c r="D4" s="47">
        <v>2</v>
      </c>
      <c r="E4" s="47">
        <v>1</v>
      </c>
      <c r="F4" s="47">
        <v>232760</v>
      </c>
      <c r="G4" s="47">
        <v>4</v>
      </c>
      <c r="H4" s="47">
        <v>1</v>
      </c>
      <c r="I4" s="49">
        <v>4</v>
      </c>
      <c r="J4" s="49"/>
      <c r="K4" s="47"/>
      <c r="L4" s="47"/>
      <c r="M4" s="47">
        <v>0</v>
      </c>
      <c r="N4" s="50" t="s">
        <v>73</v>
      </c>
      <c r="O4" s="51"/>
    </row>
    <row r="5" spans="1:15" s="52" customFormat="1">
      <c r="A5" s="47">
        <v>1</v>
      </c>
      <c r="B5" s="48">
        <v>20231010</v>
      </c>
      <c r="C5" s="47"/>
      <c r="D5" s="47">
        <v>2</v>
      </c>
      <c r="E5" s="47">
        <v>2</v>
      </c>
      <c r="F5" s="47">
        <v>232760</v>
      </c>
      <c r="G5" s="47">
        <v>5</v>
      </c>
      <c r="H5" s="47">
        <v>1</v>
      </c>
      <c r="I5" s="49">
        <v>3</v>
      </c>
      <c r="J5" s="49"/>
      <c r="K5" s="47"/>
      <c r="L5" s="47"/>
      <c r="M5" s="47">
        <v>0</v>
      </c>
      <c r="N5" s="50" t="s">
        <v>74</v>
      </c>
      <c r="O5" s="51"/>
    </row>
    <row r="6" spans="1:15" s="52" customFormat="1">
      <c r="A6" s="47">
        <v>1</v>
      </c>
      <c r="B6" s="48">
        <v>20231010</v>
      </c>
      <c r="C6" s="47"/>
      <c r="D6" s="47">
        <v>2</v>
      </c>
      <c r="E6" s="47">
        <v>3</v>
      </c>
      <c r="F6" s="47">
        <v>239010</v>
      </c>
      <c r="G6" s="47">
        <v>99</v>
      </c>
      <c r="H6" s="47">
        <v>1</v>
      </c>
      <c r="I6" s="49">
        <v>1</v>
      </c>
      <c r="J6" s="49"/>
      <c r="K6" s="47"/>
      <c r="L6" s="47"/>
      <c r="M6" s="47">
        <v>0</v>
      </c>
      <c r="N6" s="50" t="s">
        <v>97</v>
      </c>
      <c r="O6" s="51"/>
    </row>
    <row r="7" spans="1:15" s="52" customFormat="1">
      <c r="A7" s="47"/>
      <c r="B7" s="48"/>
      <c r="C7" s="47"/>
      <c r="D7" s="47"/>
      <c r="E7" s="47"/>
      <c r="F7" s="47"/>
      <c r="G7" s="47"/>
      <c r="H7" s="47"/>
      <c r="I7" s="49"/>
      <c r="J7" s="49"/>
      <c r="K7" s="47"/>
      <c r="L7" s="47"/>
      <c r="M7" s="47"/>
      <c r="N7" s="50"/>
      <c r="O7" s="51"/>
    </row>
    <row r="8" spans="1:15" s="52" customFormat="1">
      <c r="A8" s="47"/>
      <c r="B8" s="48"/>
      <c r="C8" s="47"/>
      <c r="D8" s="47"/>
      <c r="E8" s="47"/>
      <c r="F8" s="47"/>
      <c r="G8" s="47"/>
      <c r="H8" s="47"/>
      <c r="I8" s="49"/>
      <c r="J8" s="49"/>
      <c r="K8" s="47"/>
      <c r="L8" s="47"/>
      <c r="M8" s="47"/>
      <c r="N8" s="50"/>
      <c r="O8" s="51"/>
    </row>
    <row r="9" spans="1:15" s="52" customFormat="1">
      <c r="A9" s="47"/>
      <c r="B9" s="48"/>
      <c r="C9" s="47"/>
      <c r="D9" s="47"/>
      <c r="E9" s="47"/>
      <c r="F9" s="47"/>
      <c r="G9" s="47"/>
      <c r="H9" s="47"/>
      <c r="I9" s="49"/>
      <c r="J9" s="49"/>
      <c r="K9" s="47"/>
      <c r="L9" s="47"/>
      <c r="M9" s="47"/>
      <c r="N9" s="50"/>
      <c r="O9" s="51"/>
    </row>
    <row r="10" spans="1:15" s="52" customFormat="1">
      <c r="A10" s="47"/>
      <c r="B10" s="48"/>
      <c r="C10" s="47"/>
      <c r="D10" s="47"/>
      <c r="E10" s="47"/>
      <c r="F10" s="47"/>
      <c r="G10" s="47"/>
      <c r="H10" s="47"/>
      <c r="I10" s="49"/>
      <c r="J10" s="49"/>
      <c r="K10" s="47"/>
      <c r="L10" s="47"/>
      <c r="M10" s="47"/>
      <c r="N10" s="50"/>
      <c r="O10" s="51"/>
    </row>
    <row r="11" spans="1:15" s="52" customFormat="1">
      <c r="A11" s="47"/>
      <c r="B11" s="48"/>
      <c r="C11" s="47"/>
      <c r="D11" s="47"/>
      <c r="E11" s="47"/>
      <c r="F11" s="47"/>
      <c r="G11" s="47"/>
      <c r="H11" s="47"/>
      <c r="I11" s="49"/>
      <c r="J11" s="49"/>
      <c r="K11" s="47"/>
      <c r="L11" s="47"/>
      <c r="M11" s="47"/>
      <c r="N11" s="50"/>
      <c r="O11" s="51"/>
    </row>
    <row r="12" spans="1:15" s="52" customFormat="1">
      <c r="A12" s="47"/>
      <c r="B12" s="48"/>
      <c r="C12" s="47"/>
      <c r="D12" s="47"/>
      <c r="E12" s="47"/>
      <c r="F12" s="47"/>
      <c r="G12" s="47"/>
      <c r="H12" s="47"/>
      <c r="I12" s="49"/>
      <c r="J12" s="49"/>
      <c r="K12" s="47"/>
      <c r="L12" s="47"/>
      <c r="M12" s="47"/>
      <c r="N12" s="50"/>
      <c r="O12" s="51"/>
    </row>
    <row r="13" spans="1:15" s="52" customFormat="1">
      <c r="A13" s="47"/>
      <c r="B13" s="48"/>
      <c r="C13" s="47"/>
      <c r="D13" s="47"/>
      <c r="E13" s="47"/>
      <c r="F13" s="47"/>
      <c r="G13" s="47"/>
      <c r="H13" s="47"/>
      <c r="I13" s="49"/>
      <c r="J13" s="49"/>
      <c r="K13" s="47"/>
      <c r="L13" s="47"/>
      <c r="M13" s="47"/>
      <c r="N13" s="50"/>
      <c r="O13" s="51"/>
    </row>
    <row r="14" spans="1:15" s="52" customFormat="1">
      <c r="A14" s="47"/>
      <c r="B14" s="48"/>
      <c r="C14" s="47"/>
      <c r="D14" s="47"/>
      <c r="E14" s="47"/>
      <c r="F14" s="47"/>
      <c r="G14" s="47"/>
      <c r="H14" s="47"/>
      <c r="I14" s="49"/>
      <c r="J14" s="49"/>
      <c r="K14" s="47"/>
      <c r="L14" s="47"/>
      <c r="M14" s="47"/>
      <c r="N14" s="50"/>
      <c r="O14" s="51"/>
    </row>
    <row r="15" spans="1:15" s="52" customFormat="1">
      <c r="A15" s="47"/>
      <c r="B15" s="48"/>
      <c r="C15" s="47"/>
      <c r="D15" s="47"/>
      <c r="E15" s="47"/>
      <c r="F15" s="47"/>
      <c r="G15" s="47"/>
      <c r="H15" s="47"/>
      <c r="I15" s="49"/>
      <c r="J15" s="49"/>
      <c r="K15" s="47"/>
      <c r="L15" s="47"/>
      <c r="M15" s="47"/>
      <c r="N15" s="50"/>
      <c r="O15" s="51"/>
    </row>
    <row r="16" spans="1:15" s="52" customFormat="1">
      <c r="A16" s="47"/>
      <c r="B16" s="48"/>
      <c r="C16" s="47"/>
      <c r="D16" s="47"/>
      <c r="E16" s="47"/>
      <c r="F16" s="47"/>
      <c r="G16" s="47"/>
      <c r="H16" s="47"/>
      <c r="I16" s="49"/>
      <c r="J16" s="49"/>
      <c r="K16" s="47"/>
      <c r="L16" s="47"/>
      <c r="M16" s="47"/>
      <c r="N16" s="50"/>
      <c r="O16" s="51"/>
    </row>
    <row r="17" spans="1:15" s="52" customFormat="1">
      <c r="A17" s="47"/>
      <c r="B17" s="48"/>
      <c r="C17" s="47"/>
      <c r="D17" s="47"/>
      <c r="E17" s="47"/>
      <c r="F17" s="47"/>
      <c r="G17" s="47"/>
      <c r="H17" s="47"/>
      <c r="I17" s="49"/>
      <c r="J17" s="49"/>
      <c r="K17" s="47"/>
      <c r="L17" s="47"/>
      <c r="M17" s="47"/>
      <c r="N17" s="50"/>
      <c r="O17" s="51"/>
    </row>
    <row r="18" spans="1:15" s="52" customFormat="1">
      <c r="A18" s="47"/>
      <c r="B18" s="48"/>
      <c r="C18" s="47"/>
      <c r="D18" s="47"/>
      <c r="E18" s="47"/>
      <c r="F18" s="47"/>
      <c r="G18" s="47"/>
      <c r="H18" s="47"/>
      <c r="I18" s="49"/>
      <c r="J18" s="49"/>
      <c r="K18" s="47"/>
      <c r="L18" s="47"/>
      <c r="M18" s="47"/>
      <c r="N18" s="50"/>
      <c r="O18" s="51"/>
    </row>
    <row r="19" spans="1:15" s="52" customFormat="1">
      <c r="A19" s="47"/>
      <c r="B19" s="48"/>
      <c r="C19" s="47"/>
      <c r="D19" s="47"/>
      <c r="E19" s="47"/>
      <c r="F19" s="47"/>
      <c r="G19" s="47"/>
      <c r="H19" s="47"/>
      <c r="I19" s="49"/>
      <c r="J19" s="49"/>
      <c r="K19" s="47"/>
      <c r="L19" s="47"/>
      <c r="M19" s="47"/>
      <c r="N19" s="50"/>
      <c r="O19" s="51"/>
    </row>
    <row r="20" spans="1:15" s="52" customFormat="1">
      <c r="A20" s="47"/>
      <c r="B20" s="48"/>
      <c r="C20" s="47"/>
      <c r="D20" s="47"/>
      <c r="E20" s="47"/>
      <c r="F20" s="47"/>
      <c r="G20" s="47"/>
      <c r="H20" s="47"/>
      <c r="I20" s="49"/>
      <c r="J20" s="49"/>
      <c r="K20" s="47"/>
      <c r="L20" s="47"/>
      <c r="M20" s="47"/>
      <c r="N20" s="50"/>
      <c r="O20" s="51"/>
    </row>
    <row r="21" spans="1:15" s="52" customFormat="1">
      <c r="A21" s="47"/>
      <c r="B21" s="48"/>
      <c r="C21" s="47"/>
      <c r="D21" s="47"/>
      <c r="E21" s="47"/>
      <c r="F21" s="47"/>
      <c r="G21" s="47"/>
      <c r="H21" s="47"/>
      <c r="I21" s="49"/>
      <c r="J21" s="49"/>
      <c r="K21" s="47"/>
      <c r="L21" s="47"/>
      <c r="M21" s="47"/>
      <c r="N21" s="50"/>
      <c r="O21" s="51"/>
    </row>
    <row r="22" spans="1:15" s="52" customFormat="1">
      <c r="A22" s="47"/>
      <c r="B22" s="48"/>
      <c r="C22" s="47"/>
      <c r="D22" s="47"/>
      <c r="E22" s="47"/>
      <c r="F22" s="47"/>
      <c r="G22" s="47"/>
      <c r="H22" s="47"/>
      <c r="I22" s="49"/>
      <c r="J22" s="49"/>
      <c r="K22" s="47"/>
      <c r="L22" s="47"/>
      <c r="M22" s="47"/>
      <c r="N22" s="50"/>
      <c r="O22" s="51"/>
    </row>
    <row r="23" spans="1:15" s="52" customFormat="1">
      <c r="A23" s="47"/>
      <c r="B23" s="48"/>
      <c r="C23" s="47"/>
      <c r="D23" s="47"/>
      <c r="E23" s="47"/>
      <c r="F23" s="47"/>
      <c r="G23" s="47"/>
      <c r="H23" s="47"/>
      <c r="I23" s="49"/>
      <c r="J23" s="49"/>
      <c r="K23" s="47"/>
      <c r="L23" s="47"/>
      <c r="M23" s="47"/>
      <c r="N23" s="50"/>
      <c r="O23" s="51"/>
    </row>
    <row r="24" spans="1:15" s="52" customFormat="1">
      <c r="A24" s="47"/>
      <c r="B24" s="48"/>
      <c r="C24" s="47"/>
      <c r="D24" s="47"/>
      <c r="E24" s="47"/>
      <c r="F24" s="47"/>
      <c r="G24" s="47"/>
      <c r="H24" s="47"/>
      <c r="I24" s="49"/>
      <c r="J24" s="49"/>
      <c r="K24" s="47"/>
      <c r="L24" s="47"/>
      <c r="M24" s="47"/>
      <c r="N24" s="50"/>
      <c r="O24" s="51"/>
    </row>
    <row r="25" spans="1:15" s="52" customFormat="1">
      <c r="A25" s="47"/>
      <c r="B25" s="48"/>
      <c r="C25" s="47"/>
      <c r="D25" s="47"/>
      <c r="E25" s="47"/>
      <c r="F25" s="47"/>
      <c r="G25" s="47"/>
      <c r="H25" s="47"/>
      <c r="I25" s="49"/>
      <c r="J25" s="49"/>
      <c r="K25" s="47"/>
      <c r="L25" s="47"/>
      <c r="M25" s="47"/>
      <c r="N25" s="50"/>
      <c r="O25" s="51"/>
    </row>
    <row r="26" spans="1:15" s="52" customFormat="1">
      <c r="A26" s="47"/>
      <c r="B26" s="48"/>
      <c r="C26" s="47"/>
      <c r="D26" s="47"/>
      <c r="E26" s="47"/>
      <c r="F26" s="47"/>
      <c r="G26" s="47"/>
      <c r="H26" s="47"/>
      <c r="I26" s="49"/>
      <c r="J26" s="49"/>
      <c r="K26" s="47"/>
      <c r="L26" s="47"/>
      <c r="M26" s="47"/>
      <c r="N26" s="50"/>
      <c r="O26" s="51"/>
    </row>
    <row r="27" spans="1:15" s="52" customFormat="1">
      <c r="A27" s="47"/>
      <c r="B27" s="48"/>
      <c r="C27" s="47"/>
      <c r="D27" s="47"/>
      <c r="E27" s="47"/>
      <c r="F27" s="47"/>
      <c r="G27" s="47"/>
      <c r="H27" s="47"/>
      <c r="I27" s="49"/>
      <c r="J27" s="49"/>
      <c r="K27" s="47"/>
      <c r="L27" s="47"/>
      <c r="M27" s="47"/>
      <c r="N27" s="50"/>
      <c r="O27" s="51"/>
    </row>
    <row r="28" spans="1:15" s="52" customFormat="1">
      <c r="A28" s="47"/>
      <c r="B28" s="48"/>
      <c r="C28" s="47"/>
      <c r="D28" s="47"/>
      <c r="E28" s="47"/>
      <c r="F28" s="47"/>
      <c r="G28" s="47"/>
      <c r="H28" s="47"/>
      <c r="I28" s="49"/>
      <c r="J28" s="49"/>
      <c r="K28" s="47"/>
      <c r="L28" s="47"/>
      <c r="M28" s="47"/>
      <c r="N28" s="50"/>
      <c r="O28" s="51"/>
    </row>
    <row r="29" spans="1:15" s="52" customFormat="1">
      <c r="A29" s="47"/>
      <c r="B29" s="48"/>
      <c r="C29" s="47"/>
      <c r="D29" s="47"/>
      <c r="E29" s="47"/>
      <c r="F29" s="47"/>
      <c r="G29" s="47"/>
      <c r="H29" s="47"/>
      <c r="I29" s="49"/>
      <c r="J29" s="49"/>
      <c r="K29" s="47"/>
      <c r="L29" s="47"/>
      <c r="M29" s="47"/>
      <c r="N29" s="50"/>
      <c r="O29" s="51"/>
    </row>
    <row r="30" spans="1:15" s="52" customFormat="1">
      <c r="A30" s="47"/>
      <c r="B30" s="48"/>
      <c r="C30" s="47"/>
      <c r="D30" s="47"/>
      <c r="E30" s="47"/>
      <c r="F30" s="47"/>
      <c r="G30" s="47"/>
      <c r="H30" s="47"/>
      <c r="I30" s="49"/>
      <c r="J30" s="49"/>
      <c r="K30" s="47"/>
      <c r="L30" s="47"/>
      <c r="M30" s="47"/>
      <c r="N30" s="50"/>
      <c r="O30" s="51"/>
    </row>
    <row r="31" spans="1:15" s="52" customFormat="1">
      <c r="A31" s="47"/>
      <c r="B31" s="48"/>
      <c r="C31" s="47"/>
      <c r="D31" s="47"/>
      <c r="E31" s="47"/>
      <c r="F31" s="47"/>
      <c r="G31" s="47"/>
      <c r="H31" s="47"/>
      <c r="I31" s="49"/>
      <c r="J31" s="49"/>
      <c r="K31" s="47"/>
      <c r="L31" s="47"/>
      <c r="M31" s="47"/>
      <c r="N31" s="50"/>
      <c r="O31" s="51"/>
    </row>
    <row r="32" spans="1:15" s="52" customFormat="1">
      <c r="A32" s="47"/>
      <c r="B32" s="47"/>
      <c r="C32" s="47"/>
      <c r="D32" s="47"/>
      <c r="E32" s="47"/>
      <c r="F32" s="47"/>
      <c r="G32" s="47"/>
      <c r="H32" s="47"/>
      <c r="I32" s="49"/>
      <c r="J32" s="49"/>
      <c r="K32" s="47"/>
      <c r="L32" s="47"/>
      <c r="M32" s="47"/>
      <c r="N32" s="50"/>
      <c r="O32" s="51"/>
    </row>
    <row r="33" spans="1:15" s="52" customFormat="1">
      <c r="A33" s="47"/>
      <c r="B33" s="47"/>
      <c r="C33" s="47"/>
      <c r="D33" s="47"/>
      <c r="E33" s="47"/>
      <c r="F33" s="47"/>
      <c r="G33" s="47"/>
      <c r="H33" s="47"/>
      <c r="I33" s="49"/>
      <c r="J33" s="49"/>
      <c r="K33" s="47"/>
      <c r="L33" s="47"/>
      <c r="M33" s="47"/>
      <c r="N33" s="50"/>
      <c r="O33" s="51"/>
    </row>
    <row r="34" spans="1:15" s="52" customFormat="1">
      <c r="A34" s="47"/>
      <c r="B34" s="47"/>
      <c r="C34" s="47"/>
      <c r="D34" s="47"/>
      <c r="E34" s="47"/>
      <c r="F34" s="47"/>
      <c r="G34" s="47"/>
      <c r="H34" s="47"/>
      <c r="I34" s="49"/>
      <c r="J34" s="49"/>
      <c r="K34" s="47"/>
      <c r="L34" s="47"/>
      <c r="M34" s="47"/>
      <c r="N34" s="50"/>
      <c r="O34" s="51"/>
    </row>
    <row r="35" spans="1:15" s="52" customFormat="1">
      <c r="A35" s="47"/>
      <c r="B35" s="47"/>
      <c r="C35" s="47"/>
      <c r="D35" s="47"/>
      <c r="E35" s="47"/>
      <c r="F35" s="47"/>
      <c r="G35" s="47"/>
      <c r="H35" s="47"/>
      <c r="I35" s="49"/>
      <c r="J35" s="49"/>
      <c r="K35" s="47"/>
      <c r="L35" s="47"/>
      <c r="M35" s="47"/>
      <c r="N35" s="50"/>
      <c r="O35" s="51"/>
    </row>
    <row r="36" spans="1:15" s="52" customFormat="1">
      <c r="A36" s="47"/>
      <c r="B36" s="47"/>
      <c r="C36" s="47"/>
      <c r="D36" s="47"/>
      <c r="E36" s="47"/>
      <c r="F36" s="47"/>
      <c r="G36" s="47"/>
      <c r="H36" s="47"/>
      <c r="I36" s="49"/>
      <c r="J36" s="49"/>
      <c r="K36" s="47"/>
      <c r="L36" s="47"/>
      <c r="M36" s="47"/>
      <c r="N36" s="50"/>
      <c r="O36" s="51"/>
    </row>
    <row r="37" spans="1:15" s="52" customFormat="1">
      <c r="A37" s="47"/>
      <c r="B37" s="47"/>
      <c r="C37" s="47"/>
      <c r="D37" s="47"/>
      <c r="E37" s="47"/>
      <c r="F37" s="47"/>
      <c r="G37" s="47"/>
      <c r="H37" s="47"/>
      <c r="I37" s="49"/>
      <c r="J37" s="49"/>
      <c r="K37" s="47"/>
      <c r="L37" s="47"/>
      <c r="M37" s="47"/>
      <c r="N37" s="50"/>
      <c r="O37" s="51"/>
    </row>
    <row r="38" spans="1:15" s="52" customFormat="1">
      <c r="A38" s="47"/>
      <c r="B38" s="47"/>
      <c r="C38" s="47"/>
      <c r="D38" s="47"/>
      <c r="E38" s="47"/>
      <c r="F38" s="47"/>
      <c r="G38" s="47"/>
      <c r="H38" s="47"/>
      <c r="I38" s="49"/>
      <c r="J38" s="49"/>
      <c r="K38" s="47"/>
      <c r="L38" s="47"/>
      <c r="M38" s="47"/>
      <c r="N38" s="50"/>
      <c r="O38" s="51"/>
    </row>
    <row r="39" spans="1:15" s="52" customFormat="1">
      <c r="A39" s="47"/>
      <c r="B39" s="47"/>
      <c r="C39" s="47"/>
      <c r="D39" s="47"/>
      <c r="E39" s="47"/>
      <c r="F39" s="47"/>
      <c r="G39" s="47"/>
      <c r="H39" s="47"/>
      <c r="I39" s="49"/>
      <c r="J39" s="49"/>
      <c r="K39" s="47"/>
      <c r="L39" s="47"/>
      <c r="M39" s="47"/>
      <c r="N39" s="50"/>
      <c r="O39" s="51"/>
    </row>
    <row r="40" spans="1:15" s="52" customFormat="1">
      <c r="A40" s="47"/>
      <c r="B40" s="47"/>
      <c r="C40" s="47"/>
      <c r="D40" s="47"/>
      <c r="E40" s="47"/>
      <c r="F40" s="47"/>
      <c r="G40" s="47"/>
      <c r="H40" s="47"/>
      <c r="I40" s="49"/>
      <c r="J40" s="49"/>
      <c r="K40" s="47"/>
      <c r="L40" s="47"/>
      <c r="M40" s="47"/>
      <c r="N40" s="50"/>
      <c r="O40" s="51"/>
    </row>
    <row r="41" spans="1:15" s="52" customFormat="1">
      <c r="A41" s="47"/>
      <c r="B41" s="47"/>
      <c r="C41" s="47"/>
      <c r="D41" s="47"/>
      <c r="E41" s="47"/>
      <c r="F41" s="47"/>
      <c r="G41" s="47"/>
      <c r="H41" s="47"/>
      <c r="I41" s="49"/>
      <c r="J41" s="49"/>
      <c r="K41" s="47"/>
      <c r="L41" s="47"/>
      <c r="M41" s="47"/>
      <c r="N41" s="50"/>
      <c r="O41" s="51"/>
    </row>
    <row r="42" spans="1:15" s="52" customFormat="1">
      <c r="A42" s="47"/>
      <c r="B42" s="47"/>
      <c r="C42" s="47"/>
      <c r="D42" s="47"/>
      <c r="E42" s="47"/>
      <c r="F42" s="47"/>
      <c r="G42" s="47"/>
      <c r="H42" s="47"/>
      <c r="I42" s="49"/>
      <c r="J42" s="49"/>
      <c r="K42" s="47"/>
      <c r="L42" s="47"/>
      <c r="M42" s="47"/>
      <c r="N42" s="50"/>
      <c r="O42" s="51"/>
    </row>
    <row r="43" spans="1:15" s="52" customFormat="1">
      <c r="A43" s="47"/>
      <c r="B43" s="47"/>
      <c r="C43" s="47"/>
      <c r="D43" s="47"/>
      <c r="E43" s="47"/>
      <c r="F43" s="47"/>
      <c r="G43" s="47"/>
      <c r="H43" s="47"/>
      <c r="I43" s="49"/>
      <c r="J43" s="49"/>
      <c r="K43" s="47"/>
      <c r="L43" s="47"/>
      <c r="M43" s="47"/>
      <c r="N43" s="50"/>
      <c r="O43" s="51"/>
    </row>
    <row r="44" spans="1:15" s="52" customFormat="1">
      <c r="A44" s="47"/>
      <c r="B44" s="47"/>
      <c r="C44" s="47"/>
      <c r="D44" s="47"/>
      <c r="E44" s="47"/>
      <c r="F44" s="47"/>
      <c r="G44" s="47"/>
      <c r="H44" s="47"/>
      <c r="I44" s="49"/>
      <c r="J44" s="49"/>
      <c r="K44" s="47"/>
      <c r="L44" s="47"/>
      <c r="M44" s="47"/>
      <c r="N44" s="50"/>
      <c r="O44" s="51"/>
    </row>
    <row r="45" spans="1:15" s="52" customFormat="1">
      <c r="A45" s="47"/>
      <c r="B45" s="47"/>
      <c r="C45" s="47"/>
      <c r="D45" s="47"/>
      <c r="E45" s="47"/>
      <c r="F45" s="47"/>
      <c r="G45" s="47"/>
      <c r="H45" s="47"/>
      <c r="I45" s="49"/>
      <c r="J45" s="49"/>
      <c r="K45" s="47"/>
      <c r="L45" s="47"/>
      <c r="M45" s="47"/>
      <c r="N45" s="50"/>
      <c r="O45" s="51"/>
    </row>
    <row r="46" spans="1:15" s="52" customFormat="1">
      <c r="A46" s="47"/>
      <c r="B46" s="47"/>
      <c r="C46" s="47"/>
      <c r="D46" s="47"/>
      <c r="E46" s="47"/>
      <c r="F46" s="47"/>
      <c r="G46" s="47"/>
      <c r="H46" s="47"/>
      <c r="I46" s="49"/>
      <c r="J46" s="49"/>
      <c r="K46" s="47"/>
      <c r="L46" s="47"/>
      <c r="M46" s="47"/>
      <c r="N46" s="50"/>
      <c r="O46" s="51"/>
    </row>
    <row r="47" spans="1:15" s="52" customFormat="1">
      <c r="A47" s="47"/>
      <c r="B47" s="47"/>
      <c r="C47" s="47"/>
      <c r="D47" s="47"/>
      <c r="E47" s="47"/>
      <c r="F47" s="47"/>
      <c r="G47" s="47"/>
      <c r="H47" s="47"/>
      <c r="I47" s="49"/>
      <c r="J47" s="49"/>
      <c r="K47" s="47"/>
      <c r="L47" s="47"/>
      <c r="M47" s="47"/>
      <c r="N47" s="50"/>
      <c r="O47" s="51"/>
    </row>
    <row r="48" spans="1:15" s="52" customFormat="1">
      <c r="A48" s="47"/>
      <c r="B48" s="47"/>
      <c r="C48" s="47"/>
      <c r="D48" s="47"/>
      <c r="E48" s="47"/>
      <c r="F48" s="47"/>
      <c r="G48" s="47"/>
      <c r="H48" s="47"/>
      <c r="I48" s="49"/>
      <c r="J48" s="49"/>
      <c r="K48" s="47"/>
      <c r="L48" s="47"/>
      <c r="M48" s="47"/>
      <c r="N48" s="50"/>
      <c r="O48" s="51"/>
    </row>
    <row r="49" spans="1:15" s="52" customFormat="1">
      <c r="A49" s="47"/>
      <c r="B49" s="47"/>
      <c r="C49" s="47"/>
      <c r="D49" s="47"/>
      <c r="E49" s="47"/>
      <c r="F49" s="47"/>
      <c r="G49" s="47"/>
      <c r="H49" s="47"/>
      <c r="I49" s="49"/>
      <c r="J49" s="49"/>
      <c r="K49" s="47"/>
      <c r="L49" s="47"/>
      <c r="M49" s="47"/>
      <c r="N49" s="50"/>
      <c r="O49" s="51"/>
    </row>
    <row r="50" spans="1:15" s="52" customFormat="1">
      <c r="A50" s="47"/>
      <c r="B50" s="47"/>
      <c r="C50" s="47"/>
      <c r="D50" s="47"/>
      <c r="E50" s="47"/>
      <c r="F50" s="47"/>
      <c r="G50" s="47"/>
      <c r="H50" s="47"/>
      <c r="I50" s="49"/>
      <c r="J50" s="49"/>
      <c r="K50" s="47"/>
      <c r="L50" s="47"/>
      <c r="M50" s="47"/>
      <c r="N50" s="50"/>
      <c r="O50" s="51"/>
    </row>
    <row r="51" spans="1:15" s="52" customFormat="1">
      <c r="A51" s="47"/>
      <c r="B51" s="47"/>
      <c r="C51" s="47"/>
      <c r="D51" s="47"/>
      <c r="E51" s="47"/>
      <c r="F51" s="47"/>
      <c r="G51" s="47"/>
      <c r="H51" s="47"/>
      <c r="I51" s="49"/>
      <c r="J51" s="49"/>
      <c r="K51" s="47"/>
      <c r="L51" s="47"/>
      <c r="M51" s="47"/>
      <c r="N51" s="50"/>
      <c r="O51" s="51"/>
    </row>
    <row r="52" spans="1:15" s="52" customFormat="1">
      <c r="A52" s="47"/>
      <c r="B52" s="47"/>
      <c r="C52" s="47"/>
      <c r="D52" s="47"/>
      <c r="E52" s="47"/>
      <c r="F52" s="47"/>
      <c r="G52" s="47"/>
      <c r="H52" s="47"/>
      <c r="I52" s="49"/>
      <c r="J52" s="49"/>
      <c r="K52" s="47"/>
      <c r="L52" s="47"/>
      <c r="M52" s="47"/>
      <c r="N52" s="50"/>
      <c r="O52" s="51"/>
    </row>
    <row r="53" spans="1:15" s="52" customFormat="1">
      <c r="A53" s="47"/>
      <c r="B53" s="47"/>
      <c r="C53" s="47"/>
      <c r="D53" s="47"/>
      <c r="E53" s="47"/>
      <c r="F53" s="47"/>
      <c r="G53" s="47"/>
      <c r="H53" s="47"/>
      <c r="I53" s="49"/>
      <c r="J53" s="49"/>
      <c r="K53" s="47"/>
      <c r="L53" s="47"/>
      <c r="M53" s="47"/>
      <c r="N53" s="50"/>
      <c r="O53" s="51"/>
    </row>
    <row r="54" spans="1:15" s="52" customFormat="1">
      <c r="A54" s="47"/>
      <c r="B54" s="47"/>
      <c r="C54" s="47"/>
      <c r="D54" s="47"/>
      <c r="E54" s="47"/>
      <c r="F54" s="47"/>
      <c r="G54" s="47"/>
      <c r="H54" s="47"/>
      <c r="I54" s="49"/>
      <c r="J54" s="49"/>
      <c r="K54" s="47"/>
      <c r="L54" s="47"/>
      <c r="M54" s="47"/>
      <c r="N54" s="50"/>
      <c r="O54" s="51"/>
    </row>
    <row r="55" spans="1:15" s="52" customFormat="1">
      <c r="A55" s="47"/>
      <c r="B55" s="47"/>
      <c r="C55" s="47"/>
      <c r="D55" s="47"/>
      <c r="E55" s="47"/>
      <c r="F55" s="47"/>
      <c r="G55" s="47"/>
      <c r="H55" s="47"/>
      <c r="I55" s="49"/>
      <c r="J55" s="49"/>
      <c r="K55" s="47"/>
      <c r="L55" s="47"/>
      <c r="M55" s="47"/>
      <c r="N55" s="50"/>
      <c r="O55" s="51"/>
    </row>
    <row r="56" spans="1:15" s="52" customFormat="1">
      <c r="A56" s="47"/>
      <c r="B56" s="47"/>
      <c r="C56" s="47"/>
      <c r="D56" s="47"/>
      <c r="E56" s="47"/>
      <c r="F56" s="47"/>
      <c r="G56" s="47"/>
      <c r="H56" s="47"/>
      <c r="I56" s="49"/>
      <c r="J56" s="49"/>
      <c r="K56" s="47"/>
      <c r="L56" s="47"/>
      <c r="M56" s="47"/>
      <c r="N56" s="50"/>
      <c r="O56" s="51"/>
    </row>
    <row r="57" spans="1:15" s="52" customFormat="1">
      <c r="A57" s="47"/>
      <c r="B57" s="47"/>
      <c r="C57" s="47"/>
      <c r="D57" s="47"/>
      <c r="E57" s="47"/>
      <c r="F57" s="47"/>
      <c r="G57" s="47"/>
      <c r="H57" s="47"/>
      <c r="I57" s="49"/>
      <c r="J57" s="49"/>
      <c r="K57" s="47"/>
      <c r="L57" s="47"/>
      <c r="M57" s="47"/>
      <c r="N57" s="50"/>
      <c r="O57" s="51"/>
    </row>
    <row r="58" spans="1:15" s="52" customFormat="1">
      <c r="A58" s="47"/>
      <c r="B58" s="47"/>
      <c r="C58" s="47"/>
      <c r="D58" s="47"/>
      <c r="E58" s="47"/>
      <c r="F58" s="47"/>
      <c r="G58" s="47"/>
      <c r="H58" s="47"/>
      <c r="I58" s="49"/>
      <c r="J58" s="49"/>
      <c r="K58" s="47"/>
      <c r="L58" s="47"/>
      <c r="M58" s="47"/>
      <c r="N58" s="50"/>
      <c r="O58" s="51"/>
    </row>
    <row r="59" spans="1:15" s="52" customFormat="1">
      <c r="A59" s="47"/>
      <c r="B59" s="47"/>
      <c r="C59" s="47"/>
      <c r="D59" s="47"/>
      <c r="E59" s="47"/>
      <c r="F59" s="47"/>
      <c r="G59" s="47"/>
      <c r="H59" s="47"/>
      <c r="I59" s="49"/>
      <c r="J59" s="49"/>
      <c r="K59" s="47"/>
      <c r="L59" s="47"/>
      <c r="M59" s="47"/>
      <c r="N59" s="50"/>
      <c r="O59" s="51"/>
    </row>
    <row r="60" spans="1:15" s="52" customFormat="1">
      <c r="A60" s="47"/>
      <c r="B60" s="47"/>
      <c r="C60" s="47"/>
      <c r="D60" s="47"/>
      <c r="E60" s="47"/>
      <c r="F60" s="47"/>
      <c r="G60" s="47"/>
      <c r="H60" s="47"/>
      <c r="I60" s="49"/>
      <c r="J60" s="49"/>
      <c r="K60" s="47"/>
      <c r="L60" s="47"/>
      <c r="M60" s="47"/>
      <c r="N60" s="50"/>
      <c r="O60" s="51"/>
    </row>
    <row r="61" spans="1:15" s="52" customFormat="1">
      <c r="A61" s="47"/>
      <c r="B61" s="47"/>
      <c r="C61" s="47"/>
      <c r="D61" s="47"/>
      <c r="E61" s="47"/>
      <c r="F61" s="47"/>
      <c r="G61" s="47"/>
      <c r="H61" s="47"/>
      <c r="I61" s="49"/>
      <c r="J61" s="49"/>
      <c r="K61" s="47"/>
      <c r="L61" s="47"/>
      <c r="M61" s="47"/>
      <c r="N61" s="50"/>
      <c r="O61" s="51"/>
    </row>
    <row r="62" spans="1:15" s="52" customFormat="1">
      <c r="A62" s="47"/>
      <c r="B62" s="47"/>
      <c r="C62" s="47"/>
      <c r="D62" s="47"/>
      <c r="E62" s="47"/>
      <c r="F62" s="47"/>
      <c r="G62" s="47"/>
      <c r="H62" s="47"/>
      <c r="I62" s="49"/>
      <c r="J62" s="49"/>
      <c r="K62" s="47"/>
      <c r="L62" s="47"/>
      <c r="M62" s="47"/>
      <c r="N62" s="50"/>
      <c r="O62" s="51"/>
    </row>
    <row r="63" spans="1:15" s="52" customFormat="1">
      <c r="A63" s="47"/>
      <c r="B63" s="47"/>
      <c r="C63" s="47"/>
      <c r="D63" s="47"/>
      <c r="E63" s="47"/>
      <c r="F63" s="47"/>
      <c r="G63" s="47"/>
      <c r="H63" s="47"/>
      <c r="I63" s="49"/>
      <c r="J63" s="49"/>
      <c r="K63" s="47"/>
      <c r="L63" s="47"/>
      <c r="M63" s="47"/>
      <c r="N63" s="50"/>
      <c r="O63" s="51"/>
    </row>
    <row r="64" spans="1:15" s="52" customFormat="1">
      <c r="A64" s="47"/>
      <c r="B64" s="47"/>
      <c r="C64" s="47"/>
      <c r="D64" s="47"/>
      <c r="E64" s="47"/>
      <c r="F64" s="47"/>
      <c r="G64" s="47"/>
      <c r="H64" s="47"/>
      <c r="I64" s="49"/>
      <c r="J64" s="49"/>
      <c r="K64" s="47"/>
      <c r="L64" s="47"/>
      <c r="M64" s="47"/>
      <c r="N64" s="50"/>
      <c r="O64" s="51"/>
    </row>
    <row r="65" spans="1:15" s="52" customFormat="1">
      <c r="A65" s="47"/>
      <c r="B65" s="47"/>
      <c r="C65" s="47"/>
      <c r="D65" s="47"/>
      <c r="E65" s="47"/>
      <c r="F65" s="47"/>
      <c r="G65" s="47"/>
      <c r="H65" s="47"/>
      <c r="I65" s="49"/>
      <c r="J65" s="49"/>
      <c r="K65" s="47"/>
      <c r="L65" s="47"/>
      <c r="M65" s="47"/>
      <c r="N65" s="50"/>
      <c r="O65" s="51"/>
    </row>
    <row r="66" spans="1:15" s="52" customFormat="1">
      <c r="A66" s="47"/>
      <c r="B66" s="47"/>
      <c r="C66" s="47"/>
      <c r="D66" s="47"/>
      <c r="E66" s="47"/>
      <c r="F66" s="47"/>
      <c r="G66" s="47"/>
      <c r="H66" s="47"/>
      <c r="I66" s="49"/>
      <c r="J66" s="49"/>
      <c r="K66" s="47"/>
      <c r="L66" s="47"/>
      <c r="M66" s="47"/>
      <c r="N66" s="50"/>
      <c r="O66" s="51"/>
    </row>
    <row r="67" spans="1:15" s="52" customFormat="1">
      <c r="A67" s="47"/>
      <c r="B67" s="47"/>
      <c r="C67" s="47"/>
      <c r="D67" s="47"/>
      <c r="E67" s="47"/>
      <c r="F67" s="47"/>
      <c r="G67" s="47"/>
      <c r="H67" s="47"/>
      <c r="I67" s="49"/>
      <c r="J67" s="49"/>
      <c r="K67" s="47"/>
      <c r="L67" s="47"/>
      <c r="M67" s="47"/>
      <c r="N67" s="50"/>
      <c r="O67" s="51"/>
    </row>
    <row r="68" spans="1:15" s="52" customFormat="1">
      <c r="A68" s="47"/>
      <c r="B68" s="47"/>
      <c r="C68" s="47"/>
      <c r="D68" s="47"/>
      <c r="E68" s="47"/>
      <c r="F68" s="47"/>
      <c r="G68" s="47"/>
      <c r="H68" s="47"/>
      <c r="I68" s="49"/>
      <c r="J68" s="49"/>
      <c r="K68" s="47"/>
      <c r="L68" s="47"/>
      <c r="M68" s="47"/>
      <c r="N68" s="50"/>
      <c r="O68" s="51"/>
    </row>
    <row r="69" spans="1:15" s="52" customFormat="1">
      <c r="A69" s="47"/>
      <c r="B69" s="47"/>
      <c r="C69" s="47"/>
      <c r="D69" s="47"/>
      <c r="E69" s="47"/>
      <c r="F69" s="47"/>
      <c r="G69" s="47"/>
      <c r="H69" s="47"/>
      <c r="I69" s="49"/>
      <c r="J69" s="49"/>
      <c r="K69" s="47"/>
      <c r="L69" s="47"/>
      <c r="M69" s="47"/>
      <c r="N69" s="50"/>
      <c r="O69" s="51"/>
    </row>
    <row r="70" spans="1:15" s="52" customFormat="1">
      <c r="A70" s="47"/>
      <c r="B70" s="47"/>
      <c r="C70" s="47"/>
      <c r="D70" s="47"/>
      <c r="E70" s="47"/>
      <c r="F70" s="47"/>
      <c r="G70" s="47"/>
      <c r="H70" s="47"/>
      <c r="I70" s="49"/>
      <c r="J70" s="49"/>
      <c r="K70" s="47"/>
      <c r="L70" s="47"/>
      <c r="M70" s="47"/>
      <c r="N70" s="50"/>
      <c r="O70" s="51"/>
    </row>
    <row r="71" spans="1:15" s="52" customFormat="1">
      <c r="A71" s="47"/>
      <c r="B71" s="47"/>
      <c r="C71" s="47"/>
      <c r="D71" s="47"/>
      <c r="E71" s="47"/>
      <c r="F71" s="47"/>
      <c r="G71" s="47"/>
      <c r="H71" s="47"/>
      <c r="I71" s="49"/>
      <c r="J71" s="49"/>
      <c r="K71" s="47"/>
      <c r="L71" s="47"/>
      <c r="M71" s="47"/>
      <c r="N71" s="50"/>
      <c r="O71" s="51"/>
    </row>
    <row r="72" spans="1:15" s="52" customFormat="1">
      <c r="A72" s="47"/>
      <c r="B72" s="47"/>
      <c r="C72" s="47"/>
      <c r="D72" s="47"/>
      <c r="E72" s="47"/>
      <c r="F72" s="47"/>
      <c r="G72" s="47"/>
      <c r="H72" s="47"/>
      <c r="I72" s="49"/>
      <c r="J72" s="49"/>
      <c r="K72" s="47"/>
      <c r="L72" s="47"/>
      <c r="M72" s="47"/>
      <c r="N72" s="50"/>
      <c r="O72" s="51"/>
    </row>
    <row r="73" spans="1:15" s="52" customFormat="1">
      <c r="A73" s="47"/>
      <c r="B73" s="47"/>
      <c r="C73" s="47"/>
      <c r="D73" s="47"/>
      <c r="E73" s="47"/>
      <c r="F73" s="47"/>
      <c r="G73" s="47"/>
      <c r="H73" s="47"/>
      <c r="I73" s="49"/>
      <c r="J73" s="49"/>
      <c r="K73" s="47"/>
      <c r="L73" s="47"/>
      <c r="M73" s="47"/>
      <c r="N73" s="50"/>
      <c r="O73" s="51"/>
    </row>
    <row r="74" spans="1:15" s="52" customFormat="1">
      <c r="A74" s="47"/>
      <c r="B74" s="47"/>
      <c r="C74" s="47"/>
      <c r="D74" s="47"/>
      <c r="E74" s="47"/>
      <c r="F74" s="47"/>
      <c r="G74" s="47"/>
      <c r="H74" s="47"/>
      <c r="I74" s="49"/>
      <c r="J74" s="49"/>
      <c r="K74" s="47"/>
      <c r="L74" s="47"/>
      <c r="M74" s="47"/>
      <c r="N74" s="50"/>
      <c r="O74" s="51"/>
    </row>
    <row r="75" spans="1:15" s="52" customFormat="1">
      <c r="A75" s="47"/>
      <c r="B75" s="47"/>
      <c r="C75" s="47"/>
      <c r="D75" s="47"/>
      <c r="E75" s="47"/>
      <c r="F75" s="47"/>
      <c r="G75" s="47"/>
      <c r="H75" s="47"/>
      <c r="I75" s="49"/>
      <c r="J75" s="49"/>
      <c r="K75" s="47"/>
      <c r="L75" s="47"/>
      <c r="M75" s="47"/>
      <c r="N75" s="50"/>
      <c r="O75" s="51"/>
    </row>
    <row r="76" spans="1:15" s="52" customFormat="1">
      <c r="A76" s="47"/>
      <c r="B76" s="47"/>
      <c r="C76" s="47"/>
      <c r="D76" s="47"/>
      <c r="E76" s="47"/>
      <c r="F76" s="47"/>
      <c r="G76" s="47"/>
      <c r="H76" s="47"/>
      <c r="I76" s="49"/>
      <c r="J76" s="49"/>
      <c r="K76" s="47"/>
      <c r="L76" s="47"/>
      <c r="M76" s="47"/>
      <c r="N76" s="50"/>
      <c r="O76" s="51"/>
    </row>
    <row r="77" spans="1:15" s="52" customFormat="1">
      <c r="A77" s="47"/>
      <c r="B77" s="47"/>
      <c r="C77" s="47"/>
      <c r="D77" s="47"/>
      <c r="E77" s="47"/>
      <c r="F77" s="47"/>
      <c r="G77" s="47"/>
      <c r="H77" s="47"/>
      <c r="I77" s="49"/>
      <c r="J77" s="49"/>
      <c r="K77" s="47"/>
      <c r="L77" s="47"/>
      <c r="M77" s="47"/>
      <c r="N77" s="50"/>
      <c r="O77" s="51"/>
    </row>
    <row r="78" spans="1:15" s="52" customFormat="1">
      <c r="A78" s="47"/>
      <c r="B78" s="47"/>
      <c r="C78" s="47"/>
      <c r="D78" s="47"/>
      <c r="E78" s="47"/>
      <c r="F78" s="47"/>
      <c r="G78" s="47"/>
      <c r="H78" s="47"/>
      <c r="I78" s="49"/>
      <c r="J78" s="49"/>
      <c r="K78" s="47"/>
      <c r="L78" s="47"/>
      <c r="M78" s="47"/>
      <c r="N78" s="50"/>
      <c r="O78" s="51"/>
    </row>
    <row r="79" spans="1:15" s="52" customFormat="1">
      <c r="A79" s="47"/>
      <c r="B79" s="47"/>
      <c r="C79" s="47"/>
      <c r="D79" s="47"/>
      <c r="E79" s="47"/>
      <c r="F79" s="47"/>
      <c r="G79" s="47"/>
      <c r="H79" s="47"/>
      <c r="I79" s="49"/>
      <c r="J79" s="49"/>
      <c r="K79" s="47"/>
      <c r="L79" s="47"/>
      <c r="M79" s="47"/>
      <c r="N79" s="50"/>
      <c r="O79" s="51"/>
    </row>
    <row r="80" spans="1:15" s="52" customFormat="1">
      <c r="A80" s="47"/>
      <c r="B80" s="47"/>
      <c r="C80" s="47"/>
      <c r="D80" s="47"/>
      <c r="E80" s="47"/>
      <c r="F80" s="47"/>
      <c r="G80" s="47"/>
      <c r="H80" s="47"/>
      <c r="I80" s="49"/>
      <c r="J80" s="49"/>
      <c r="K80" s="47"/>
      <c r="L80" s="47"/>
      <c r="M80" s="47"/>
      <c r="N80" s="50"/>
      <c r="O80" s="51"/>
    </row>
    <row r="81" spans="1:15" s="52" customFormat="1">
      <c r="A81" s="47"/>
      <c r="B81" s="47"/>
      <c r="C81" s="47"/>
      <c r="D81" s="47"/>
      <c r="E81" s="47"/>
      <c r="F81" s="47"/>
      <c r="G81" s="47"/>
      <c r="H81" s="47"/>
      <c r="I81" s="49"/>
      <c r="J81" s="49"/>
      <c r="K81" s="47"/>
      <c r="L81" s="47"/>
      <c r="M81" s="47"/>
      <c r="N81" s="50"/>
      <c r="O81" s="51"/>
    </row>
    <row r="82" spans="1:15" s="52" customFormat="1">
      <c r="A82" s="47"/>
      <c r="B82" s="47"/>
      <c r="C82" s="47"/>
      <c r="D82" s="47"/>
      <c r="E82" s="47"/>
      <c r="F82" s="47"/>
      <c r="G82" s="47"/>
      <c r="H82" s="47"/>
      <c r="I82" s="49"/>
      <c r="J82" s="49"/>
      <c r="K82" s="47"/>
      <c r="L82" s="47"/>
      <c r="M82" s="47"/>
      <c r="N82" s="50"/>
      <c r="O82" s="51"/>
    </row>
    <row r="83" spans="1:15" s="52" customFormat="1">
      <c r="A83" s="47"/>
      <c r="B83" s="47"/>
      <c r="C83" s="47"/>
      <c r="D83" s="47"/>
      <c r="E83" s="47"/>
      <c r="F83" s="47"/>
      <c r="G83" s="47"/>
      <c r="H83" s="47"/>
      <c r="I83" s="49"/>
      <c r="J83" s="49"/>
      <c r="K83" s="47"/>
      <c r="L83" s="47"/>
      <c r="M83" s="47"/>
      <c r="N83" s="50"/>
      <c r="O83" s="51"/>
    </row>
    <row r="84" spans="1:15" s="52" customFormat="1">
      <c r="A84" s="47"/>
      <c r="B84" s="47"/>
      <c r="C84" s="47"/>
      <c r="D84" s="47"/>
      <c r="E84" s="47"/>
      <c r="F84" s="47"/>
      <c r="G84" s="47"/>
      <c r="H84" s="47"/>
      <c r="I84" s="49"/>
      <c r="J84" s="49"/>
      <c r="K84" s="47"/>
      <c r="L84" s="47"/>
      <c r="M84" s="47"/>
      <c r="N84" s="50"/>
      <c r="O84" s="51"/>
    </row>
    <row r="85" spans="1:15" s="52" customFormat="1">
      <c r="A85" s="47"/>
      <c r="B85" s="47"/>
      <c r="C85" s="47"/>
      <c r="D85" s="47"/>
      <c r="E85" s="47"/>
      <c r="F85" s="47"/>
      <c r="G85" s="47"/>
      <c r="H85" s="47"/>
      <c r="I85" s="49"/>
      <c r="J85" s="49"/>
      <c r="K85" s="47"/>
      <c r="L85" s="47"/>
      <c r="M85" s="47"/>
      <c r="N85" s="50"/>
      <c r="O85" s="51"/>
    </row>
    <row r="86" spans="1:15" s="52" customFormat="1">
      <c r="A86" s="47"/>
      <c r="B86" s="47"/>
      <c r="C86" s="47"/>
      <c r="D86" s="47"/>
      <c r="E86" s="47"/>
      <c r="F86" s="47"/>
      <c r="G86" s="47"/>
      <c r="H86" s="47"/>
      <c r="I86" s="49"/>
      <c r="J86" s="49"/>
      <c r="K86" s="47"/>
      <c r="L86" s="47"/>
      <c r="M86" s="47"/>
      <c r="N86" s="50"/>
      <c r="O86" s="51"/>
    </row>
    <row r="87" spans="1:15" s="52" customFormat="1">
      <c r="A87" s="47"/>
      <c r="B87" s="47"/>
      <c r="C87" s="47"/>
      <c r="D87" s="47"/>
      <c r="E87" s="47"/>
      <c r="F87" s="47"/>
      <c r="G87" s="47"/>
      <c r="H87" s="47"/>
      <c r="I87" s="49"/>
      <c r="J87" s="49"/>
      <c r="K87" s="47"/>
      <c r="L87" s="47"/>
      <c r="M87" s="47"/>
      <c r="N87" s="50"/>
      <c r="O87" s="51"/>
    </row>
    <row r="88" spans="1:15" s="52" customFormat="1">
      <c r="A88" s="47"/>
      <c r="B88" s="47"/>
      <c r="C88" s="47"/>
      <c r="D88" s="47"/>
      <c r="E88" s="47"/>
      <c r="F88" s="47"/>
      <c r="G88" s="47"/>
      <c r="H88" s="47"/>
      <c r="I88" s="49"/>
      <c r="J88" s="49"/>
      <c r="K88" s="47"/>
      <c r="L88" s="47"/>
      <c r="M88" s="47"/>
      <c r="N88" s="50"/>
      <c r="O88" s="51"/>
    </row>
    <row r="89" spans="1:15" s="52" customFormat="1">
      <c r="A89" s="47"/>
      <c r="B89" s="47"/>
      <c r="C89" s="47"/>
      <c r="D89" s="47"/>
      <c r="E89" s="47"/>
      <c r="F89" s="47"/>
      <c r="G89" s="47"/>
      <c r="H89" s="47"/>
      <c r="I89" s="49"/>
      <c r="J89" s="49"/>
      <c r="K89" s="47"/>
      <c r="L89" s="47"/>
      <c r="M89" s="47"/>
      <c r="N89" s="50"/>
      <c r="O89" s="51"/>
    </row>
    <row r="90" spans="1:15" s="52" customFormat="1">
      <c r="A90" s="47"/>
      <c r="B90" s="47"/>
      <c r="C90" s="47"/>
      <c r="D90" s="47"/>
      <c r="E90" s="47"/>
      <c r="F90" s="47"/>
      <c r="G90" s="47"/>
      <c r="H90" s="47"/>
      <c r="I90" s="49"/>
      <c r="J90" s="49"/>
      <c r="K90" s="47"/>
      <c r="L90" s="47"/>
      <c r="M90" s="47"/>
      <c r="N90" s="50"/>
      <c r="O90" s="51"/>
    </row>
    <row r="91" spans="1:15" s="52" customFormat="1">
      <c r="A91" s="47"/>
      <c r="B91" s="47"/>
      <c r="C91" s="47"/>
      <c r="D91" s="47"/>
      <c r="E91" s="47"/>
      <c r="F91" s="47"/>
      <c r="G91" s="47"/>
      <c r="H91" s="47"/>
      <c r="I91" s="49"/>
      <c r="J91" s="49"/>
      <c r="K91" s="47"/>
      <c r="L91" s="47"/>
      <c r="M91" s="47"/>
      <c r="N91" s="50"/>
      <c r="O91" s="51"/>
    </row>
    <row r="92" spans="1:15" s="52" customFormat="1">
      <c r="A92" s="47"/>
      <c r="B92" s="47"/>
      <c r="C92" s="47"/>
      <c r="D92" s="47"/>
      <c r="E92" s="47"/>
      <c r="F92" s="47"/>
      <c r="G92" s="47"/>
      <c r="H92" s="47"/>
      <c r="I92" s="49"/>
      <c r="J92" s="49"/>
      <c r="K92" s="47"/>
      <c r="L92" s="47"/>
      <c r="M92" s="47"/>
      <c r="N92" s="50"/>
      <c r="O92" s="51"/>
    </row>
    <row r="93" spans="1:15" s="52" customFormat="1">
      <c r="A93" s="47"/>
      <c r="B93" s="47"/>
      <c r="C93" s="47"/>
      <c r="D93" s="47"/>
      <c r="E93" s="47"/>
      <c r="F93" s="47"/>
      <c r="G93" s="47"/>
      <c r="H93" s="47"/>
      <c r="I93" s="49"/>
      <c r="J93" s="49"/>
      <c r="K93" s="47"/>
      <c r="L93" s="47"/>
      <c r="M93" s="47"/>
      <c r="N93" s="50"/>
      <c r="O93" s="51"/>
    </row>
    <row r="94" spans="1:15" s="52" customFormat="1">
      <c r="A94" s="47"/>
      <c r="B94" s="47"/>
      <c r="C94" s="47"/>
      <c r="D94" s="47"/>
      <c r="E94" s="47"/>
      <c r="F94" s="47"/>
      <c r="G94" s="47"/>
      <c r="H94" s="47"/>
      <c r="I94" s="49"/>
      <c r="J94" s="49"/>
      <c r="K94" s="47"/>
      <c r="L94" s="47"/>
      <c r="M94" s="47"/>
      <c r="N94" s="50"/>
      <c r="O94" s="51"/>
    </row>
    <row r="95" spans="1:15" s="52" customFormat="1">
      <c r="A95" s="47"/>
      <c r="B95" s="47"/>
      <c r="C95" s="47"/>
      <c r="D95" s="47"/>
      <c r="E95" s="47"/>
      <c r="F95" s="47"/>
      <c r="G95" s="47"/>
      <c r="H95" s="47"/>
      <c r="I95" s="49"/>
      <c r="J95" s="49"/>
      <c r="K95" s="47"/>
      <c r="L95" s="47"/>
      <c r="M95" s="47"/>
      <c r="N95" s="50"/>
      <c r="O95" s="51"/>
    </row>
    <row r="96" spans="1:15" s="52" customFormat="1">
      <c r="A96" s="47"/>
      <c r="B96" s="47"/>
      <c r="C96" s="47"/>
      <c r="D96" s="47"/>
      <c r="E96" s="47"/>
      <c r="F96" s="47"/>
      <c r="G96" s="47"/>
      <c r="H96" s="47"/>
      <c r="I96" s="49"/>
      <c r="J96" s="49"/>
      <c r="K96" s="47"/>
      <c r="L96" s="47"/>
      <c r="M96" s="47"/>
      <c r="N96" s="50"/>
      <c r="O96" s="51"/>
    </row>
    <row r="97" spans="1:15" s="52" customFormat="1">
      <c r="A97" s="47"/>
      <c r="B97" s="47"/>
      <c r="C97" s="47"/>
      <c r="D97" s="47"/>
      <c r="E97" s="47"/>
      <c r="F97" s="47"/>
      <c r="G97" s="47"/>
      <c r="H97" s="47"/>
      <c r="I97" s="49"/>
      <c r="J97" s="49"/>
      <c r="K97" s="47"/>
      <c r="L97" s="47"/>
      <c r="M97" s="47"/>
      <c r="N97" s="50"/>
      <c r="O97" s="51"/>
    </row>
    <row r="98" spans="1:15" s="52" customFormat="1">
      <c r="A98" s="47"/>
      <c r="B98" s="47"/>
      <c r="C98" s="47"/>
      <c r="D98" s="47"/>
      <c r="E98" s="47"/>
      <c r="F98" s="47"/>
      <c r="G98" s="47"/>
      <c r="H98" s="47"/>
      <c r="I98" s="49"/>
      <c r="J98" s="49"/>
      <c r="K98" s="47"/>
      <c r="L98" s="47"/>
      <c r="M98" s="47"/>
      <c r="N98" s="50"/>
      <c r="O98" s="51"/>
    </row>
    <row r="99" spans="1:15" s="52" customFormat="1">
      <c r="A99" s="47"/>
      <c r="B99" s="47"/>
      <c r="C99" s="47"/>
      <c r="D99" s="47"/>
      <c r="E99" s="47"/>
      <c r="F99" s="47"/>
      <c r="G99" s="47"/>
      <c r="H99" s="47"/>
      <c r="I99" s="49"/>
      <c r="J99" s="49"/>
      <c r="K99" s="47"/>
      <c r="L99" s="47"/>
      <c r="M99" s="47"/>
      <c r="N99" s="50"/>
      <c r="O99" s="51"/>
    </row>
    <row r="100" spans="1:15" s="52" customFormat="1">
      <c r="A100" s="47"/>
      <c r="B100" s="47"/>
      <c r="C100" s="47"/>
      <c r="D100" s="47"/>
      <c r="E100" s="47"/>
      <c r="F100" s="47"/>
      <c r="G100" s="47"/>
      <c r="H100" s="47"/>
      <c r="I100" s="49"/>
      <c r="J100" s="49"/>
      <c r="K100" s="47"/>
      <c r="L100" s="47"/>
      <c r="M100" s="47"/>
      <c r="N100" s="50"/>
      <c r="O100" s="51"/>
    </row>
    <row r="101" spans="1:15" s="52" customFormat="1">
      <c r="A101" s="47"/>
      <c r="B101" s="47"/>
      <c r="C101" s="47"/>
      <c r="D101" s="47"/>
      <c r="E101" s="47"/>
      <c r="F101" s="47"/>
      <c r="G101" s="47"/>
      <c r="H101" s="47"/>
      <c r="I101" s="49"/>
      <c r="J101" s="49"/>
      <c r="K101" s="47"/>
      <c r="L101" s="47"/>
      <c r="M101" s="47"/>
      <c r="N101" s="50"/>
      <c r="O101" s="51"/>
    </row>
    <row r="102" spans="1:15" s="52" customFormat="1">
      <c r="A102" s="47"/>
      <c r="B102" s="47"/>
      <c r="C102" s="47"/>
      <c r="D102" s="47"/>
      <c r="E102" s="47"/>
      <c r="F102" s="47"/>
      <c r="G102" s="47"/>
      <c r="H102" s="47"/>
      <c r="I102" s="49"/>
      <c r="J102" s="49"/>
      <c r="K102" s="47"/>
      <c r="L102" s="47"/>
      <c r="M102" s="47"/>
      <c r="N102" s="50"/>
      <c r="O102" s="51"/>
    </row>
    <row r="103" spans="1:15" s="52" customFormat="1">
      <c r="A103" s="47"/>
      <c r="B103" s="47"/>
      <c r="C103" s="47"/>
      <c r="D103" s="47"/>
      <c r="E103" s="47"/>
      <c r="F103" s="47"/>
      <c r="G103" s="47"/>
      <c r="H103" s="47"/>
      <c r="I103" s="49"/>
      <c r="J103" s="49"/>
      <c r="K103" s="47"/>
      <c r="L103" s="47"/>
      <c r="M103" s="47"/>
      <c r="N103" s="50"/>
      <c r="O103" s="51"/>
    </row>
    <row r="104" spans="1:15" s="52" customFormat="1">
      <c r="A104" s="47"/>
      <c r="B104" s="48"/>
      <c r="C104" s="47"/>
      <c r="D104" s="47"/>
      <c r="E104" s="47"/>
      <c r="F104" s="47"/>
      <c r="G104" s="47"/>
      <c r="H104" s="47"/>
      <c r="I104" s="49"/>
      <c r="J104" s="49"/>
      <c r="K104" s="47"/>
      <c r="L104" s="47"/>
      <c r="M104" s="47"/>
      <c r="N104" s="50"/>
      <c r="O104" s="51"/>
    </row>
    <row r="105" spans="1:15" s="52" customFormat="1">
      <c r="A105" s="47"/>
      <c r="B105" s="48"/>
      <c r="C105" s="47"/>
      <c r="D105" s="47"/>
      <c r="E105" s="47"/>
      <c r="F105" s="47"/>
      <c r="G105" s="47"/>
      <c r="H105" s="47"/>
      <c r="I105" s="49"/>
      <c r="J105" s="49"/>
      <c r="K105" s="47"/>
      <c r="L105" s="47"/>
      <c r="M105" s="47"/>
      <c r="N105" s="50"/>
      <c r="O105" s="51"/>
    </row>
    <row r="106" spans="1:15" s="52" customFormat="1">
      <c r="A106" s="47"/>
      <c r="B106" s="48"/>
      <c r="C106" s="47"/>
      <c r="D106" s="47"/>
      <c r="E106" s="47"/>
      <c r="F106" s="47"/>
      <c r="G106" s="47"/>
      <c r="H106" s="47"/>
      <c r="I106" s="49"/>
      <c r="J106" s="49"/>
      <c r="K106" s="47"/>
      <c r="L106" s="47"/>
      <c r="M106" s="47"/>
      <c r="N106" s="50"/>
      <c r="O106" s="51"/>
    </row>
    <row r="107" spans="1:15" s="52" customFormat="1">
      <c r="A107" s="47"/>
      <c r="B107" s="48"/>
      <c r="C107" s="47"/>
      <c r="D107" s="47"/>
      <c r="E107" s="47"/>
      <c r="F107" s="47"/>
      <c r="G107" s="47"/>
      <c r="H107" s="47"/>
      <c r="I107" s="49"/>
      <c r="J107" s="49"/>
      <c r="K107" s="47"/>
      <c r="L107" s="47"/>
      <c r="M107" s="47"/>
      <c r="N107" s="50"/>
      <c r="O107" s="51"/>
    </row>
    <row r="108" spans="1:15" s="52" customFormat="1">
      <c r="A108" s="47"/>
      <c r="B108" s="48"/>
      <c r="C108" s="47"/>
      <c r="D108" s="47"/>
      <c r="E108" s="47"/>
      <c r="F108" s="47"/>
      <c r="G108" s="47"/>
      <c r="H108" s="47"/>
      <c r="I108" s="49"/>
      <c r="J108" s="49"/>
      <c r="K108" s="47"/>
      <c r="L108" s="47"/>
      <c r="M108" s="47"/>
      <c r="N108" s="50"/>
      <c r="O108" s="51"/>
    </row>
    <row r="109" spans="1:15" s="52" customFormat="1">
      <c r="A109" s="47"/>
      <c r="B109" s="48"/>
      <c r="C109" s="47"/>
      <c r="D109" s="47"/>
      <c r="E109" s="47"/>
      <c r="F109" s="47"/>
      <c r="G109" s="47"/>
      <c r="H109" s="47"/>
      <c r="I109" s="49"/>
      <c r="J109" s="49"/>
      <c r="K109" s="47"/>
      <c r="L109" s="47"/>
      <c r="M109" s="47"/>
      <c r="N109" s="50"/>
      <c r="O109" s="51"/>
    </row>
    <row r="110" spans="1:15" s="52" customFormat="1">
      <c r="A110" s="47"/>
      <c r="B110" s="48"/>
      <c r="C110" s="47"/>
      <c r="D110" s="47"/>
      <c r="E110" s="47"/>
      <c r="F110" s="47"/>
      <c r="G110" s="47"/>
      <c r="H110" s="47"/>
      <c r="I110" s="49"/>
      <c r="J110" s="49"/>
      <c r="K110" s="47"/>
      <c r="L110" s="47"/>
      <c r="M110" s="47"/>
      <c r="N110" s="50"/>
      <c r="O110" s="51"/>
    </row>
    <row r="111" spans="1:15" s="52" customFormat="1">
      <c r="A111" s="47"/>
      <c r="B111" s="48"/>
      <c r="C111" s="47"/>
      <c r="D111" s="47"/>
      <c r="E111" s="47"/>
      <c r="F111" s="47"/>
      <c r="G111" s="47"/>
      <c r="H111" s="47"/>
      <c r="I111" s="49"/>
      <c r="J111" s="49"/>
      <c r="K111" s="47"/>
      <c r="L111" s="47"/>
      <c r="M111" s="47"/>
      <c r="N111" s="50"/>
      <c r="O111" s="51"/>
    </row>
    <row r="112" spans="1:15" s="52" customFormat="1">
      <c r="A112" s="47"/>
      <c r="B112" s="48"/>
      <c r="C112" s="47"/>
      <c r="D112" s="47"/>
      <c r="E112" s="47"/>
      <c r="F112" s="47"/>
      <c r="G112" s="47"/>
      <c r="H112" s="47"/>
      <c r="I112" s="49"/>
      <c r="J112" s="49"/>
      <c r="K112" s="47"/>
      <c r="L112" s="47"/>
      <c r="M112" s="47"/>
      <c r="N112" s="50"/>
      <c r="O112" s="51"/>
    </row>
    <row r="113" spans="1:15" s="52" customFormat="1">
      <c r="A113" s="47"/>
      <c r="B113" s="48"/>
      <c r="C113" s="47"/>
      <c r="D113" s="47"/>
      <c r="E113" s="47"/>
      <c r="F113" s="47"/>
      <c r="G113" s="47"/>
      <c r="H113" s="47"/>
      <c r="I113" s="49"/>
      <c r="J113" s="49"/>
      <c r="K113" s="47"/>
      <c r="L113" s="47"/>
      <c r="M113" s="47"/>
      <c r="N113" s="50"/>
      <c r="O113" s="51"/>
    </row>
    <row r="114" spans="1:15" s="52" customFormat="1">
      <c r="A114" s="47"/>
      <c r="B114" s="48"/>
      <c r="C114" s="47"/>
      <c r="D114" s="47"/>
      <c r="E114" s="47"/>
      <c r="F114" s="47"/>
      <c r="G114" s="47"/>
      <c r="H114" s="47"/>
      <c r="I114" s="49"/>
      <c r="J114" s="49"/>
      <c r="K114" s="47"/>
      <c r="L114" s="47"/>
      <c r="M114" s="47"/>
      <c r="N114" s="50"/>
      <c r="O114" s="51"/>
    </row>
    <row r="115" spans="1:15" s="52" customFormat="1">
      <c r="A115" s="47"/>
      <c r="B115" s="48"/>
      <c r="C115" s="47"/>
      <c r="D115" s="47"/>
      <c r="E115" s="47"/>
      <c r="F115" s="47"/>
      <c r="G115" s="47"/>
      <c r="H115" s="47"/>
      <c r="I115" s="49"/>
      <c r="J115" s="49"/>
      <c r="K115" s="47"/>
      <c r="L115" s="47"/>
      <c r="M115" s="47"/>
      <c r="N115" s="50"/>
      <c r="O115" s="51"/>
    </row>
    <row r="116" spans="1:15" s="52" customFormat="1">
      <c r="A116" s="47"/>
      <c r="B116" s="48"/>
      <c r="C116" s="47"/>
      <c r="D116" s="47"/>
      <c r="E116" s="47"/>
      <c r="F116" s="47"/>
      <c r="G116" s="47"/>
      <c r="H116" s="47"/>
      <c r="I116" s="49"/>
      <c r="J116" s="49"/>
      <c r="K116" s="47"/>
      <c r="L116" s="47"/>
      <c r="M116" s="47"/>
      <c r="N116" s="50"/>
      <c r="O116" s="51"/>
    </row>
    <row r="117" spans="1:15" s="52" customFormat="1">
      <c r="A117" s="47"/>
      <c r="B117" s="48"/>
      <c r="C117" s="47"/>
      <c r="D117" s="47"/>
      <c r="E117" s="47"/>
      <c r="F117" s="47"/>
      <c r="G117" s="47"/>
      <c r="H117" s="47"/>
      <c r="I117" s="49"/>
      <c r="J117" s="49"/>
      <c r="K117" s="47"/>
      <c r="L117" s="47"/>
      <c r="M117" s="47"/>
      <c r="N117" s="50"/>
      <c r="O117" s="51"/>
    </row>
    <row r="118" spans="1:15" s="52" customFormat="1">
      <c r="A118" s="47"/>
      <c r="B118" s="48"/>
      <c r="C118" s="47"/>
      <c r="D118" s="47"/>
      <c r="E118" s="47"/>
      <c r="F118" s="47"/>
      <c r="G118" s="47"/>
      <c r="H118" s="47"/>
      <c r="I118" s="49"/>
      <c r="J118" s="49"/>
      <c r="K118" s="47"/>
      <c r="L118" s="47"/>
      <c r="M118" s="47"/>
      <c r="N118" s="50"/>
      <c r="O118" s="51"/>
    </row>
    <row r="119" spans="1:15" s="52" customFormat="1">
      <c r="A119" s="47"/>
      <c r="B119" s="48"/>
      <c r="C119" s="47"/>
      <c r="D119" s="47"/>
      <c r="E119" s="47"/>
      <c r="F119" s="47"/>
      <c r="G119" s="47"/>
      <c r="H119" s="47"/>
      <c r="I119" s="49"/>
      <c r="J119" s="49"/>
      <c r="K119" s="47"/>
      <c r="L119" s="47"/>
      <c r="M119" s="47"/>
      <c r="N119" s="50"/>
      <c r="O119" s="51"/>
    </row>
    <row r="120" spans="1:15" s="52" customFormat="1">
      <c r="A120" s="47"/>
      <c r="B120" s="48"/>
      <c r="C120" s="47"/>
      <c r="D120" s="47"/>
      <c r="E120" s="47"/>
      <c r="F120" s="47"/>
      <c r="G120" s="47"/>
      <c r="H120" s="47"/>
      <c r="I120" s="49"/>
      <c r="J120" s="49"/>
      <c r="K120" s="47"/>
      <c r="L120" s="47"/>
      <c r="M120" s="47"/>
      <c r="N120" s="50"/>
      <c r="O120" s="51"/>
    </row>
    <row r="121" spans="1:15" s="52" customFormat="1">
      <c r="A121" s="47"/>
      <c r="B121" s="48"/>
      <c r="C121" s="47"/>
      <c r="D121" s="47"/>
      <c r="E121" s="47"/>
      <c r="F121" s="47"/>
      <c r="G121" s="47"/>
      <c r="H121" s="47"/>
      <c r="I121" s="49"/>
      <c r="J121" s="49"/>
      <c r="K121" s="47"/>
      <c r="L121" s="47"/>
      <c r="M121" s="47"/>
      <c r="N121" s="50"/>
      <c r="O121" s="51"/>
    </row>
    <row r="122" spans="1:15" s="52" customFormat="1">
      <c r="A122" s="47"/>
      <c r="B122" s="48"/>
      <c r="C122" s="47"/>
      <c r="D122" s="47"/>
      <c r="E122" s="47"/>
      <c r="F122" s="47"/>
      <c r="G122" s="47"/>
      <c r="H122" s="47"/>
      <c r="I122" s="49"/>
      <c r="J122" s="49"/>
      <c r="K122" s="47"/>
      <c r="L122" s="47"/>
      <c r="M122" s="47"/>
      <c r="N122" s="50"/>
      <c r="O122" s="51"/>
    </row>
    <row r="123" spans="1:15" s="52" customFormat="1">
      <c r="A123" s="47"/>
      <c r="B123" s="48"/>
      <c r="C123" s="47"/>
      <c r="D123" s="47"/>
      <c r="E123" s="47"/>
      <c r="F123" s="47"/>
      <c r="G123" s="47"/>
      <c r="H123" s="47"/>
      <c r="I123" s="49"/>
      <c r="J123" s="49"/>
      <c r="K123" s="47"/>
      <c r="L123" s="47"/>
      <c r="M123" s="47"/>
      <c r="N123" s="50"/>
      <c r="O123" s="51"/>
    </row>
    <row r="124" spans="1:15" s="52" customFormat="1">
      <c r="A124" s="47"/>
      <c r="B124" s="48"/>
      <c r="C124" s="47"/>
      <c r="D124" s="47"/>
      <c r="E124" s="47"/>
      <c r="F124" s="47"/>
      <c r="G124" s="47"/>
      <c r="H124" s="47"/>
      <c r="I124" s="49"/>
      <c r="J124" s="49"/>
      <c r="K124" s="47"/>
      <c r="L124" s="47"/>
      <c r="M124" s="47"/>
      <c r="N124" s="50"/>
      <c r="O124" s="51"/>
    </row>
    <row r="125" spans="1:15" s="52" customFormat="1">
      <c r="A125" s="47"/>
      <c r="B125" s="48"/>
      <c r="C125" s="47"/>
      <c r="D125" s="47"/>
      <c r="E125" s="47"/>
      <c r="F125" s="47"/>
      <c r="G125" s="47"/>
      <c r="H125" s="47"/>
      <c r="I125" s="49"/>
      <c r="J125" s="49"/>
      <c r="K125" s="47"/>
      <c r="L125" s="47"/>
      <c r="M125" s="47"/>
      <c r="N125" s="50"/>
      <c r="O125" s="51"/>
    </row>
    <row r="126" spans="1:15" s="52" customFormat="1">
      <c r="A126" s="47"/>
      <c r="B126" s="48"/>
      <c r="C126" s="47"/>
      <c r="D126" s="47"/>
      <c r="E126" s="47"/>
      <c r="F126" s="47"/>
      <c r="G126" s="47"/>
      <c r="H126" s="47"/>
      <c r="I126" s="49"/>
      <c r="J126" s="49"/>
      <c r="K126" s="47"/>
      <c r="L126" s="47"/>
      <c r="M126" s="47"/>
      <c r="N126" s="50"/>
      <c r="O126" s="51"/>
    </row>
    <row r="127" spans="1:15" s="52" customFormat="1">
      <c r="A127" s="47"/>
      <c r="B127" s="48"/>
      <c r="C127" s="47"/>
      <c r="D127" s="47"/>
      <c r="E127" s="47"/>
      <c r="F127" s="47"/>
      <c r="G127" s="47"/>
      <c r="H127" s="47"/>
      <c r="I127" s="49"/>
      <c r="J127" s="49"/>
      <c r="K127" s="47"/>
      <c r="L127" s="47"/>
      <c r="M127" s="47"/>
      <c r="N127" s="50"/>
      <c r="O127" s="51"/>
    </row>
    <row r="128" spans="1:15" s="52" customFormat="1">
      <c r="A128" s="47"/>
      <c r="B128" s="48"/>
      <c r="C128" s="47"/>
      <c r="D128" s="47"/>
      <c r="E128" s="47"/>
      <c r="F128" s="47"/>
      <c r="G128" s="47"/>
      <c r="H128" s="47"/>
      <c r="I128" s="49"/>
      <c r="J128" s="49"/>
      <c r="K128" s="47"/>
      <c r="L128" s="47"/>
      <c r="M128" s="47"/>
      <c r="N128" s="50"/>
      <c r="O128" s="51"/>
    </row>
    <row r="129" spans="1:15" s="52" customFormat="1">
      <c r="A129" s="47"/>
      <c r="B129" s="48"/>
      <c r="C129" s="47"/>
      <c r="D129" s="47"/>
      <c r="E129" s="47"/>
      <c r="F129" s="47"/>
      <c r="G129" s="47"/>
      <c r="H129" s="47"/>
      <c r="I129" s="49"/>
      <c r="J129" s="49"/>
      <c r="K129" s="47"/>
      <c r="L129" s="47"/>
      <c r="M129" s="47"/>
      <c r="N129" s="50"/>
      <c r="O129" s="51"/>
    </row>
    <row r="130" spans="1:15" s="52" customFormat="1">
      <c r="A130" s="47"/>
      <c r="B130" s="48"/>
      <c r="C130" s="47"/>
      <c r="D130" s="47"/>
      <c r="E130" s="47"/>
      <c r="F130" s="47"/>
      <c r="G130" s="47"/>
      <c r="H130" s="47"/>
      <c r="I130" s="49"/>
      <c r="J130" s="49"/>
      <c r="K130" s="47"/>
      <c r="L130" s="47"/>
      <c r="M130" s="47"/>
      <c r="N130" s="50"/>
      <c r="O130" s="51"/>
    </row>
    <row r="131" spans="1:15" s="52" customFormat="1">
      <c r="A131" s="47"/>
      <c r="B131" s="48"/>
      <c r="C131" s="47"/>
      <c r="D131" s="47"/>
      <c r="E131" s="47"/>
      <c r="F131" s="47"/>
      <c r="G131" s="47"/>
      <c r="H131" s="47"/>
      <c r="I131" s="49"/>
      <c r="J131" s="49"/>
      <c r="K131" s="47"/>
      <c r="L131" s="47"/>
      <c r="M131" s="47"/>
      <c r="N131" s="50"/>
      <c r="O131" s="51"/>
    </row>
    <row r="132" spans="1:15" s="52" customFormat="1">
      <c r="A132" s="47"/>
      <c r="B132" s="47"/>
      <c r="C132" s="47"/>
      <c r="D132" s="47"/>
      <c r="E132" s="47"/>
      <c r="F132" s="47"/>
      <c r="G132" s="47"/>
      <c r="H132" s="47"/>
      <c r="I132" s="49"/>
      <c r="J132" s="49"/>
      <c r="K132" s="47"/>
      <c r="L132" s="47"/>
      <c r="M132" s="47"/>
      <c r="N132" s="50"/>
      <c r="O132" s="51"/>
    </row>
    <row r="133" spans="1:15" s="52" customFormat="1">
      <c r="A133" s="47"/>
      <c r="B133" s="47"/>
      <c r="C133" s="47"/>
      <c r="D133" s="47"/>
      <c r="E133" s="47"/>
      <c r="F133" s="47"/>
      <c r="G133" s="47"/>
      <c r="H133" s="47"/>
      <c r="I133" s="49"/>
      <c r="J133" s="49"/>
      <c r="K133" s="47"/>
      <c r="L133" s="47"/>
      <c r="M133" s="47"/>
      <c r="N133" s="50"/>
      <c r="O133" s="51"/>
    </row>
    <row r="134" spans="1:15" s="52" customFormat="1">
      <c r="A134" s="47"/>
      <c r="B134" s="47"/>
      <c r="C134" s="47"/>
      <c r="D134" s="47"/>
      <c r="E134" s="47"/>
      <c r="F134" s="47"/>
      <c r="G134" s="47"/>
      <c r="H134" s="47"/>
      <c r="I134" s="49"/>
      <c r="J134" s="49"/>
      <c r="K134" s="47"/>
      <c r="L134" s="47"/>
      <c r="M134" s="47"/>
      <c r="N134" s="50"/>
      <c r="O134" s="51"/>
    </row>
    <row r="135" spans="1:15" s="52" customFormat="1">
      <c r="A135" s="47"/>
      <c r="B135" s="47"/>
      <c r="C135" s="47"/>
      <c r="D135" s="47"/>
      <c r="E135" s="47"/>
      <c r="F135" s="47"/>
      <c r="G135" s="47"/>
      <c r="H135" s="47"/>
      <c r="I135" s="49"/>
      <c r="J135" s="49"/>
      <c r="K135" s="47"/>
      <c r="L135" s="47"/>
      <c r="M135" s="47"/>
      <c r="N135" s="50"/>
      <c r="O135" s="51"/>
    </row>
    <row r="136" spans="1:15" s="52" customFormat="1">
      <c r="A136" s="47"/>
      <c r="B136" s="47"/>
      <c r="C136" s="47"/>
      <c r="D136" s="47"/>
      <c r="E136" s="47"/>
      <c r="F136" s="47"/>
      <c r="G136" s="47"/>
      <c r="H136" s="47"/>
      <c r="I136" s="49"/>
      <c r="J136" s="49"/>
      <c r="K136" s="47"/>
      <c r="L136" s="47"/>
      <c r="M136" s="47"/>
      <c r="N136" s="50"/>
      <c r="O136" s="51"/>
    </row>
    <row r="137" spans="1:15" s="52" customFormat="1">
      <c r="A137" s="47"/>
      <c r="B137" s="47"/>
      <c r="C137" s="47"/>
      <c r="D137" s="47"/>
      <c r="E137" s="47"/>
      <c r="F137" s="47"/>
      <c r="G137" s="47"/>
      <c r="H137" s="47"/>
      <c r="I137" s="49"/>
      <c r="J137" s="49"/>
      <c r="K137" s="47"/>
      <c r="L137" s="47"/>
      <c r="M137" s="47"/>
      <c r="N137" s="50"/>
      <c r="O137" s="51"/>
    </row>
    <row r="138" spans="1:15" s="52" customFormat="1">
      <c r="A138" s="47"/>
      <c r="B138" s="47"/>
      <c r="C138" s="47"/>
      <c r="D138" s="47"/>
      <c r="E138" s="47"/>
      <c r="F138" s="47"/>
      <c r="G138" s="47"/>
      <c r="H138" s="47"/>
      <c r="I138" s="49"/>
      <c r="J138" s="49"/>
      <c r="K138" s="47"/>
      <c r="L138" s="47"/>
      <c r="M138" s="47"/>
      <c r="N138" s="50"/>
      <c r="O138" s="51"/>
    </row>
    <row r="139" spans="1:15" s="52" customFormat="1">
      <c r="A139" s="47"/>
      <c r="B139" s="47"/>
      <c r="C139" s="47"/>
      <c r="D139" s="47"/>
      <c r="E139" s="47"/>
      <c r="F139" s="47"/>
      <c r="G139" s="47"/>
      <c r="H139" s="47"/>
      <c r="I139" s="49"/>
      <c r="J139" s="49"/>
      <c r="K139" s="47"/>
      <c r="L139" s="47"/>
      <c r="M139" s="47"/>
      <c r="N139" s="50"/>
      <c r="O139" s="51"/>
    </row>
    <row r="140" spans="1:15" s="52" customFormat="1">
      <c r="A140" s="47"/>
      <c r="B140" s="47"/>
      <c r="C140" s="47"/>
      <c r="D140" s="47"/>
      <c r="E140" s="47"/>
      <c r="F140" s="47"/>
      <c r="G140" s="47"/>
      <c r="H140" s="47"/>
      <c r="I140" s="49"/>
      <c r="J140" s="49"/>
      <c r="K140" s="47"/>
      <c r="L140" s="47"/>
      <c r="M140" s="47"/>
      <c r="N140" s="50"/>
      <c r="O140" s="51"/>
    </row>
    <row r="141" spans="1:15" s="52" customFormat="1">
      <c r="A141" s="47"/>
      <c r="B141" s="47"/>
      <c r="C141" s="47"/>
      <c r="D141" s="47"/>
      <c r="E141" s="47"/>
      <c r="F141" s="47"/>
      <c r="G141" s="47"/>
      <c r="H141" s="47"/>
      <c r="I141" s="49"/>
      <c r="J141" s="49"/>
      <c r="K141" s="47"/>
      <c r="L141" s="47"/>
      <c r="M141" s="47"/>
      <c r="N141" s="50"/>
      <c r="O141" s="51"/>
    </row>
    <row r="142" spans="1:15" s="52" customFormat="1">
      <c r="A142" s="47"/>
      <c r="B142" s="47"/>
      <c r="C142" s="47"/>
      <c r="D142" s="47"/>
      <c r="E142" s="47"/>
      <c r="F142" s="47"/>
      <c r="G142" s="47"/>
      <c r="H142" s="47"/>
      <c r="I142" s="49"/>
      <c r="J142" s="49"/>
      <c r="K142" s="47"/>
      <c r="L142" s="47"/>
      <c r="M142" s="47"/>
      <c r="N142" s="50"/>
      <c r="O142" s="51"/>
    </row>
    <row r="143" spans="1:15" s="52" customFormat="1">
      <c r="A143" s="47"/>
      <c r="B143" s="47"/>
      <c r="C143" s="47"/>
      <c r="D143" s="47"/>
      <c r="E143" s="47"/>
      <c r="F143" s="47"/>
      <c r="G143" s="47"/>
      <c r="H143" s="47"/>
      <c r="I143" s="49"/>
      <c r="J143" s="49"/>
      <c r="K143" s="47"/>
      <c r="L143" s="47"/>
      <c r="M143" s="47"/>
      <c r="N143" s="50"/>
      <c r="O143" s="51"/>
    </row>
    <row r="144" spans="1:15" s="52" customFormat="1">
      <c r="A144" s="47"/>
      <c r="B144" s="47"/>
      <c r="C144" s="47"/>
      <c r="D144" s="47"/>
      <c r="E144" s="47"/>
      <c r="F144" s="47"/>
      <c r="G144" s="47"/>
      <c r="H144" s="47"/>
      <c r="I144" s="49"/>
      <c r="J144" s="49"/>
      <c r="K144" s="47"/>
      <c r="L144" s="47"/>
      <c r="M144" s="47"/>
      <c r="N144" s="50"/>
      <c r="O144" s="51"/>
    </row>
    <row r="145" spans="1:15" s="52" customFormat="1">
      <c r="A145" s="47"/>
      <c r="B145" s="47"/>
      <c r="C145" s="47"/>
      <c r="D145" s="47"/>
      <c r="E145" s="47"/>
      <c r="F145" s="47"/>
      <c r="G145" s="47"/>
      <c r="H145" s="47"/>
      <c r="I145" s="49"/>
      <c r="J145" s="49"/>
      <c r="K145" s="47"/>
      <c r="L145" s="47"/>
      <c r="M145" s="47"/>
      <c r="N145" s="50"/>
      <c r="O145" s="51"/>
    </row>
    <row r="146" spans="1:15" s="52" customFormat="1">
      <c r="A146" s="47"/>
      <c r="B146" s="47"/>
      <c r="C146" s="47"/>
      <c r="D146" s="47"/>
      <c r="E146" s="47"/>
      <c r="F146" s="47"/>
      <c r="G146" s="47"/>
      <c r="H146" s="47"/>
      <c r="I146" s="49"/>
      <c r="J146" s="49"/>
      <c r="K146" s="47"/>
      <c r="L146" s="47"/>
      <c r="M146" s="47"/>
      <c r="N146" s="50"/>
      <c r="O146" s="51"/>
    </row>
    <row r="147" spans="1:15" s="52" customFormat="1">
      <c r="A147" s="47"/>
      <c r="B147" s="47"/>
      <c r="C147" s="47"/>
      <c r="D147" s="47"/>
      <c r="E147" s="47"/>
      <c r="F147" s="47"/>
      <c r="G147" s="47"/>
      <c r="H147" s="47"/>
      <c r="I147" s="49"/>
      <c r="J147" s="49"/>
      <c r="K147" s="47"/>
      <c r="L147" s="47"/>
      <c r="M147" s="47"/>
      <c r="N147" s="50"/>
      <c r="O147" s="51"/>
    </row>
    <row r="148" spans="1:15" s="52" customFormat="1">
      <c r="A148" s="47"/>
      <c r="B148" s="47"/>
      <c r="C148" s="47"/>
      <c r="D148" s="47"/>
      <c r="E148" s="47"/>
      <c r="F148" s="47"/>
      <c r="G148" s="47"/>
      <c r="H148" s="47"/>
      <c r="I148" s="49"/>
      <c r="J148" s="49"/>
      <c r="K148" s="47"/>
      <c r="L148" s="47"/>
      <c r="M148" s="47"/>
      <c r="N148" s="50"/>
      <c r="O148" s="51"/>
    </row>
    <row r="149" spans="1:15" s="52" customFormat="1">
      <c r="A149" s="47"/>
      <c r="B149" s="47"/>
      <c r="C149" s="47"/>
      <c r="D149" s="47"/>
      <c r="E149" s="47"/>
      <c r="F149" s="47"/>
      <c r="G149" s="47"/>
      <c r="H149" s="47"/>
      <c r="I149" s="49"/>
      <c r="J149" s="49"/>
      <c r="K149" s="47"/>
      <c r="L149" s="47"/>
      <c r="M149" s="47"/>
      <c r="N149" s="50"/>
      <c r="O149" s="51"/>
    </row>
    <row r="150" spans="1:15" s="52" customFormat="1">
      <c r="A150" s="47"/>
      <c r="B150" s="47"/>
      <c r="C150" s="47"/>
      <c r="D150" s="47"/>
      <c r="E150" s="47"/>
      <c r="F150" s="47"/>
      <c r="G150" s="47"/>
      <c r="H150" s="47"/>
      <c r="I150" s="49"/>
      <c r="J150" s="49"/>
      <c r="K150" s="47"/>
      <c r="L150" s="47"/>
      <c r="M150" s="47"/>
      <c r="N150" s="50"/>
      <c r="O150" s="51"/>
    </row>
    <row r="151" spans="1:15" s="52" customFormat="1">
      <c r="A151" s="47"/>
      <c r="B151" s="47"/>
      <c r="C151" s="47"/>
      <c r="D151" s="47"/>
      <c r="E151" s="47"/>
      <c r="F151" s="47"/>
      <c r="G151" s="47"/>
      <c r="H151" s="47"/>
      <c r="I151" s="49"/>
      <c r="J151" s="49"/>
      <c r="K151" s="47"/>
      <c r="L151" s="47"/>
      <c r="M151" s="47"/>
      <c r="N151" s="50"/>
      <c r="O151" s="51"/>
    </row>
    <row r="152" spans="1:15" s="52" customFormat="1">
      <c r="A152" s="47"/>
      <c r="B152" s="47"/>
      <c r="C152" s="47"/>
      <c r="D152" s="47"/>
      <c r="E152" s="47"/>
      <c r="F152" s="47"/>
      <c r="G152" s="47"/>
      <c r="H152" s="47"/>
      <c r="I152" s="49"/>
      <c r="J152" s="49"/>
      <c r="K152" s="47"/>
      <c r="L152" s="47"/>
      <c r="M152" s="47"/>
      <c r="N152" s="50"/>
      <c r="O152" s="51"/>
    </row>
    <row r="153" spans="1:15" s="52" customFormat="1">
      <c r="A153" s="47"/>
      <c r="B153" s="47"/>
      <c r="C153" s="47"/>
      <c r="D153" s="47"/>
      <c r="E153" s="47"/>
      <c r="F153" s="47"/>
      <c r="G153" s="47"/>
      <c r="H153" s="47"/>
      <c r="I153" s="49"/>
      <c r="J153" s="49"/>
      <c r="K153" s="47"/>
      <c r="L153" s="47"/>
      <c r="M153" s="47"/>
      <c r="N153" s="50"/>
      <c r="O153" s="51"/>
    </row>
    <row r="154" spans="1:15" s="52" customFormat="1">
      <c r="A154" s="47"/>
      <c r="B154" s="47"/>
      <c r="C154" s="47"/>
      <c r="D154" s="47"/>
      <c r="E154" s="47"/>
      <c r="F154" s="47"/>
      <c r="G154" s="47"/>
      <c r="H154" s="47"/>
      <c r="I154" s="49"/>
      <c r="J154" s="49"/>
      <c r="K154" s="47"/>
      <c r="L154" s="47"/>
      <c r="M154" s="47"/>
      <c r="N154" s="50"/>
      <c r="O154" s="51"/>
    </row>
    <row r="155" spans="1:15" s="52" customFormat="1">
      <c r="A155" s="47"/>
      <c r="B155" s="47"/>
      <c r="C155" s="47"/>
      <c r="D155" s="47"/>
      <c r="E155" s="47"/>
      <c r="F155" s="47"/>
      <c r="G155" s="47"/>
      <c r="H155" s="47"/>
      <c r="I155" s="49"/>
      <c r="J155" s="49"/>
      <c r="K155" s="47"/>
      <c r="L155" s="47"/>
      <c r="M155" s="47"/>
      <c r="N155" s="50"/>
      <c r="O155" s="51"/>
    </row>
    <row r="156" spans="1:15" s="52" customFormat="1">
      <c r="A156" s="47"/>
      <c r="B156" s="47"/>
      <c r="C156" s="47"/>
      <c r="D156" s="47"/>
      <c r="E156" s="47"/>
      <c r="F156" s="47"/>
      <c r="G156" s="47"/>
      <c r="H156" s="47"/>
      <c r="I156" s="49"/>
      <c r="J156" s="49"/>
      <c r="K156" s="47"/>
      <c r="L156" s="47"/>
      <c r="M156" s="47"/>
      <c r="N156" s="50"/>
      <c r="O156" s="51"/>
    </row>
    <row r="157" spans="1:15" s="52" customFormat="1">
      <c r="A157" s="47"/>
      <c r="B157" s="47"/>
      <c r="C157" s="47"/>
      <c r="D157" s="47"/>
      <c r="E157" s="47"/>
      <c r="F157" s="47"/>
      <c r="G157" s="47"/>
      <c r="H157" s="47"/>
      <c r="I157" s="49"/>
      <c r="J157" s="49"/>
      <c r="K157" s="47"/>
      <c r="L157" s="47"/>
      <c r="M157" s="47"/>
      <c r="N157" s="50"/>
      <c r="O157" s="51"/>
    </row>
    <row r="158" spans="1:15" s="52" customFormat="1">
      <c r="A158" s="47"/>
      <c r="B158" s="47"/>
      <c r="C158" s="47"/>
      <c r="D158" s="47"/>
      <c r="E158" s="47"/>
      <c r="F158" s="47"/>
      <c r="G158" s="47"/>
      <c r="H158" s="47"/>
      <c r="I158" s="49"/>
      <c r="J158" s="49"/>
      <c r="K158" s="47"/>
      <c r="L158" s="47"/>
      <c r="M158" s="47"/>
      <c r="N158" s="50"/>
      <c r="O158" s="51"/>
    </row>
    <row r="159" spans="1:15" s="52" customFormat="1">
      <c r="A159" s="47"/>
      <c r="B159" s="47"/>
      <c r="C159" s="47"/>
      <c r="D159" s="47"/>
      <c r="E159" s="47"/>
      <c r="F159" s="47"/>
      <c r="G159" s="47"/>
      <c r="H159" s="47"/>
      <c r="I159" s="49"/>
      <c r="J159" s="49"/>
      <c r="K159" s="47"/>
      <c r="L159" s="47"/>
      <c r="M159" s="47"/>
      <c r="N159" s="50"/>
      <c r="O159" s="51"/>
    </row>
    <row r="160" spans="1:15" s="52" customFormat="1">
      <c r="A160" s="47"/>
      <c r="B160" s="47"/>
      <c r="C160" s="47"/>
      <c r="D160" s="47"/>
      <c r="E160" s="47"/>
      <c r="F160" s="47"/>
      <c r="G160" s="47"/>
      <c r="H160" s="47"/>
      <c r="I160" s="49"/>
      <c r="J160" s="49"/>
      <c r="K160" s="47"/>
      <c r="L160" s="47"/>
      <c r="M160" s="47"/>
      <c r="N160" s="50"/>
      <c r="O160" s="51"/>
    </row>
    <row r="161" spans="1:15" s="52" customFormat="1">
      <c r="A161" s="47"/>
      <c r="B161" s="47"/>
      <c r="C161" s="47"/>
      <c r="D161" s="47"/>
      <c r="E161" s="47"/>
      <c r="F161" s="47"/>
      <c r="G161" s="47"/>
      <c r="H161" s="47"/>
      <c r="I161" s="49"/>
      <c r="J161" s="49"/>
      <c r="K161" s="47"/>
      <c r="L161" s="47"/>
      <c r="M161" s="47"/>
      <c r="N161" s="50"/>
      <c r="O161" s="51"/>
    </row>
    <row r="162" spans="1:15" s="52" customFormat="1">
      <c r="A162" s="47"/>
      <c r="B162" s="47"/>
      <c r="C162" s="47"/>
      <c r="D162" s="47"/>
      <c r="E162" s="47"/>
      <c r="F162" s="47"/>
      <c r="G162" s="47"/>
      <c r="H162" s="47"/>
      <c r="I162" s="49"/>
      <c r="J162" s="49"/>
      <c r="K162" s="47"/>
      <c r="L162" s="47"/>
      <c r="M162" s="47"/>
      <c r="N162" s="50"/>
      <c r="O162" s="51"/>
    </row>
    <row r="163" spans="1:15" s="52" customFormat="1">
      <c r="A163" s="47"/>
      <c r="B163" s="47"/>
      <c r="C163" s="47"/>
      <c r="D163" s="47"/>
      <c r="E163" s="47"/>
      <c r="F163" s="47"/>
      <c r="G163" s="47"/>
      <c r="H163" s="47"/>
      <c r="I163" s="49"/>
      <c r="J163" s="49"/>
      <c r="K163" s="47"/>
      <c r="L163" s="47"/>
      <c r="M163" s="47"/>
      <c r="N163" s="50"/>
      <c r="O163" s="51"/>
    </row>
    <row r="164" spans="1:15" s="52" customFormat="1">
      <c r="A164" s="47"/>
      <c r="B164" s="47"/>
      <c r="C164" s="47"/>
      <c r="D164" s="47"/>
      <c r="E164" s="47"/>
      <c r="F164" s="47"/>
      <c r="G164" s="47"/>
      <c r="H164" s="47"/>
      <c r="I164" s="49"/>
      <c r="J164" s="49"/>
      <c r="K164" s="47"/>
      <c r="L164" s="47"/>
      <c r="M164" s="47"/>
      <c r="N164" s="50"/>
      <c r="O164" s="51"/>
    </row>
    <row r="165" spans="1:15" s="52" customFormat="1">
      <c r="A165" s="47"/>
      <c r="B165" s="47"/>
      <c r="C165" s="47"/>
      <c r="D165" s="47"/>
      <c r="E165" s="47"/>
      <c r="F165" s="47"/>
      <c r="G165" s="47"/>
      <c r="H165" s="47"/>
      <c r="I165" s="49"/>
      <c r="J165" s="49"/>
      <c r="K165" s="47"/>
      <c r="L165" s="47"/>
      <c r="M165" s="47"/>
      <c r="N165" s="50"/>
      <c r="O165" s="51"/>
    </row>
    <row r="166" spans="1:15" s="52" customFormat="1">
      <c r="A166" s="47"/>
      <c r="B166" s="47"/>
      <c r="C166" s="47"/>
      <c r="D166" s="47"/>
      <c r="E166" s="47"/>
      <c r="F166" s="47"/>
      <c r="G166" s="47"/>
      <c r="H166" s="47"/>
      <c r="I166" s="49"/>
      <c r="J166" s="49"/>
      <c r="K166" s="47"/>
      <c r="L166" s="47"/>
      <c r="M166" s="47"/>
      <c r="N166" s="50"/>
      <c r="O166" s="51"/>
    </row>
    <row r="167" spans="1:15" s="52" customFormat="1">
      <c r="A167" s="47"/>
      <c r="B167" s="47"/>
      <c r="C167" s="47"/>
      <c r="D167" s="47"/>
      <c r="E167" s="47"/>
      <c r="F167" s="47"/>
      <c r="G167" s="47"/>
      <c r="H167" s="47"/>
      <c r="I167" s="49"/>
      <c r="J167" s="49"/>
      <c r="K167" s="47"/>
      <c r="L167" s="47"/>
      <c r="M167" s="47"/>
      <c r="N167" s="50"/>
      <c r="O167" s="51"/>
    </row>
    <row r="168" spans="1:15" s="52" customFormat="1">
      <c r="A168" s="47"/>
      <c r="B168" s="47"/>
      <c r="C168" s="47"/>
      <c r="D168" s="47"/>
      <c r="E168" s="47"/>
      <c r="F168" s="47"/>
      <c r="G168" s="47"/>
      <c r="H168" s="47"/>
      <c r="I168" s="49"/>
      <c r="J168" s="49"/>
      <c r="K168" s="47"/>
      <c r="L168" s="47"/>
      <c r="M168" s="47"/>
      <c r="N168" s="50"/>
      <c r="O168" s="51"/>
    </row>
    <row r="169" spans="1:15" s="52" customFormat="1">
      <c r="A169" s="47"/>
      <c r="B169" s="47"/>
      <c r="C169" s="47"/>
      <c r="D169" s="47"/>
      <c r="E169" s="47"/>
      <c r="F169" s="47"/>
      <c r="G169" s="47"/>
      <c r="H169" s="47"/>
      <c r="I169" s="49"/>
      <c r="J169" s="49"/>
      <c r="K169" s="47"/>
      <c r="L169" s="47"/>
      <c r="M169" s="47"/>
      <c r="N169" s="50"/>
      <c r="O169" s="51"/>
    </row>
    <row r="170" spans="1:15" s="52" customFormat="1">
      <c r="A170" s="47"/>
      <c r="B170" s="47"/>
      <c r="C170" s="47"/>
      <c r="D170" s="47"/>
      <c r="E170" s="47"/>
      <c r="F170" s="47"/>
      <c r="G170" s="47"/>
      <c r="H170" s="47"/>
      <c r="I170" s="49"/>
      <c r="J170" s="49"/>
      <c r="K170" s="47"/>
      <c r="L170" s="47"/>
      <c r="M170" s="47"/>
      <c r="N170" s="50"/>
      <c r="O170" s="51"/>
    </row>
    <row r="171" spans="1:15" s="52" customFormat="1">
      <c r="A171" s="47"/>
      <c r="B171" s="47"/>
      <c r="C171" s="47"/>
      <c r="D171" s="47"/>
      <c r="E171" s="47"/>
      <c r="F171" s="47"/>
      <c r="G171" s="47"/>
      <c r="H171" s="47"/>
      <c r="I171" s="49"/>
      <c r="J171" s="49"/>
      <c r="K171" s="47"/>
      <c r="L171" s="47"/>
      <c r="M171" s="47"/>
      <c r="N171" s="50"/>
      <c r="O171" s="51"/>
    </row>
    <row r="172" spans="1:15" s="52" customFormat="1">
      <c r="A172" s="47"/>
      <c r="B172" s="47"/>
      <c r="C172" s="47"/>
      <c r="D172" s="47"/>
      <c r="E172" s="47"/>
      <c r="F172" s="47"/>
      <c r="G172" s="47"/>
      <c r="H172" s="47"/>
      <c r="I172" s="49"/>
      <c r="J172" s="49"/>
      <c r="K172" s="47"/>
      <c r="L172" s="47"/>
      <c r="M172" s="47"/>
      <c r="N172" s="50"/>
      <c r="O172" s="51"/>
    </row>
    <row r="173" spans="1:15" s="52" customFormat="1">
      <c r="A173" s="47"/>
      <c r="B173" s="47"/>
      <c r="C173" s="47"/>
      <c r="D173" s="47"/>
      <c r="E173" s="47"/>
      <c r="F173" s="47"/>
      <c r="G173" s="47"/>
      <c r="H173" s="47"/>
      <c r="I173" s="49"/>
      <c r="J173" s="49"/>
      <c r="K173" s="47"/>
      <c r="L173" s="47"/>
      <c r="M173" s="47"/>
      <c r="N173" s="50"/>
      <c r="O173" s="51"/>
    </row>
    <row r="174" spans="1:15" s="52" customFormat="1">
      <c r="A174" s="47"/>
      <c r="B174" s="47"/>
      <c r="C174" s="47"/>
      <c r="D174" s="47"/>
      <c r="E174" s="47"/>
      <c r="F174" s="47"/>
      <c r="G174" s="47"/>
      <c r="H174" s="47"/>
      <c r="I174" s="49"/>
      <c r="J174" s="49"/>
      <c r="K174" s="47"/>
      <c r="L174" s="47"/>
      <c r="M174" s="47"/>
      <c r="N174" s="50"/>
      <c r="O174" s="51"/>
    </row>
    <row r="175" spans="1:15" s="52" customFormat="1">
      <c r="A175" s="47"/>
      <c r="B175" s="47"/>
      <c r="C175" s="47"/>
      <c r="D175" s="47"/>
      <c r="E175" s="47"/>
      <c r="F175" s="47"/>
      <c r="G175" s="47"/>
      <c r="H175" s="47"/>
      <c r="I175" s="49"/>
      <c r="J175" s="49"/>
      <c r="K175" s="47"/>
      <c r="L175" s="47"/>
      <c r="M175" s="47"/>
      <c r="N175" s="50"/>
      <c r="O175" s="51"/>
    </row>
    <row r="176" spans="1:15" s="52" customFormat="1">
      <c r="A176" s="47"/>
      <c r="B176" s="47"/>
      <c r="C176" s="47"/>
      <c r="D176" s="47"/>
      <c r="E176" s="47"/>
      <c r="F176" s="47"/>
      <c r="G176" s="47"/>
      <c r="H176" s="47"/>
      <c r="I176" s="49"/>
      <c r="J176" s="49"/>
      <c r="K176" s="47"/>
      <c r="L176" s="47"/>
      <c r="M176" s="47"/>
      <c r="N176" s="50"/>
      <c r="O176" s="51"/>
    </row>
    <row r="177" spans="1:15" s="52" customFormat="1">
      <c r="A177" s="47"/>
      <c r="B177" s="47"/>
      <c r="C177" s="47"/>
      <c r="D177" s="47"/>
      <c r="E177" s="47"/>
      <c r="F177" s="47"/>
      <c r="G177" s="47"/>
      <c r="H177" s="47"/>
      <c r="I177" s="49"/>
      <c r="J177" s="49"/>
      <c r="K177" s="47"/>
      <c r="L177" s="47"/>
      <c r="M177" s="47"/>
      <c r="N177" s="50"/>
      <c r="O177" s="51"/>
    </row>
    <row r="178" spans="1:15" s="52" customFormat="1">
      <c r="A178" s="47"/>
      <c r="B178" s="47"/>
      <c r="C178" s="47"/>
      <c r="D178" s="47"/>
      <c r="E178" s="47"/>
      <c r="F178" s="47"/>
      <c r="G178" s="47"/>
      <c r="H178" s="47"/>
      <c r="I178" s="49"/>
      <c r="J178" s="49"/>
      <c r="K178" s="47"/>
      <c r="L178" s="47"/>
      <c r="M178" s="47"/>
      <c r="N178" s="50"/>
      <c r="O178" s="51"/>
    </row>
    <row r="179" spans="1:15" s="52" customFormat="1">
      <c r="A179" s="47"/>
      <c r="B179" s="47"/>
      <c r="C179" s="47"/>
      <c r="D179" s="47"/>
      <c r="E179" s="47"/>
      <c r="F179" s="47"/>
      <c r="G179" s="47"/>
      <c r="H179" s="47"/>
      <c r="I179" s="49"/>
      <c r="J179" s="49"/>
      <c r="K179" s="47"/>
      <c r="L179" s="47"/>
      <c r="M179" s="47"/>
      <c r="N179" s="50"/>
      <c r="O179" s="51"/>
    </row>
    <row r="180" spans="1:15" s="52" customFormat="1">
      <c r="A180" s="47"/>
      <c r="B180" s="47"/>
      <c r="C180" s="47"/>
      <c r="D180" s="47"/>
      <c r="E180" s="47"/>
      <c r="F180" s="47"/>
      <c r="G180" s="47"/>
      <c r="H180" s="47"/>
      <c r="I180" s="49"/>
      <c r="J180" s="49"/>
      <c r="K180" s="47"/>
      <c r="L180" s="47"/>
      <c r="M180" s="47"/>
      <c r="N180" s="50"/>
      <c r="O180" s="51"/>
    </row>
    <row r="181" spans="1:15" s="52" customFormat="1">
      <c r="A181" s="47"/>
      <c r="B181" s="47"/>
      <c r="C181" s="47"/>
      <c r="D181" s="47"/>
      <c r="E181" s="47"/>
      <c r="F181" s="47"/>
      <c r="G181" s="47"/>
      <c r="H181" s="47"/>
      <c r="I181" s="49"/>
      <c r="J181" s="49"/>
      <c r="K181" s="47"/>
      <c r="L181" s="47"/>
      <c r="M181" s="47"/>
      <c r="N181" s="50"/>
      <c r="O181" s="51"/>
    </row>
    <row r="182" spans="1:15" s="52" customFormat="1">
      <c r="A182" s="47"/>
      <c r="B182" s="47"/>
      <c r="C182" s="47"/>
      <c r="D182" s="47"/>
      <c r="E182" s="47"/>
      <c r="F182" s="47"/>
      <c r="G182" s="47"/>
      <c r="H182" s="47"/>
      <c r="I182" s="49"/>
      <c r="J182" s="49"/>
      <c r="K182" s="47"/>
      <c r="L182" s="47"/>
      <c r="M182" s="47"/>
      <c r="N182" s="50"/>
      <c r="O182" s="51"/>
    </row>
    <row r="183" spans="1:15" s="52" customFormat="1">
      <c r="A183" s="47"/>
      <c r="B183" s="47"/>
      <c r="C183" s="47"/>
      <c r="D183" s="47"/>
      <c r="E183" s="47"/>
      <c r="F183" s="47"/>
      <c r="G183" s="47"/>
      <c r="H183" s="47"/>
      <c r="I183" s="49"/>
      <c r="J183" s="49"/>
      <c r="K183" s="47"/>
      <c r="L183" s="47"/>
      <c r="M183" s="47"/>
      <c r="N183" s="50"/>
      <c r="O183" s="51"/>
    </row>
    <row r="184" spans="1:15" s="52" customFormat="1">
      <c r="A184" s="47"/>
      <c r="B184" s="47"/>
      <c r="C184" s="47"/>
      <c r="D184" s="47"/>
      <c r="E184" s="47"/>
      <c r="F184" s="47"/>
      <c r="G184" s="47"/>
      <c r="H184" s="47"/>
      <c r="I184" s="49"/>
      <c r="J184" s="49"/>
      <c r="K184" s="47"/>
      <c r="L184" s="47"/>
      <c r="M184" s="47"/>
      <c r="N184" s="50"/>
      <c r="O184" s="51"/>
    </row>
    <row r="185" spans="1:15" s="52" customFormat="1">
      <c r="A185" s="47"/>
      <c r="B185" s="47"/>
      <c r="C185" s="47"/>
      <c r="D185" s="47"/>
      <c r="E185" s="47"/>
      <c r="F185" s="47"/>
      <c r="G185" s="47"/>
      <c r="H185" s="47"/>
      <c r="I185" s="49"/>
      <c r="J185" s="49"/>
      <c r="K185" s="47"/>
      <c r="L185" s="47"/>
      <c r="M185" s="47"/>
      <c r="N185" s="50"/>
      <c r="O185" s="51"/>
    </row>
    <row r="186" spans="1:15" s="52" customFormat="1">
      <c r="A186" s="47"/>
      <c r="B186" s="47"/>
      <c r="C186" s="47"/>
      <c r="D186" s="47"/>
      <c r="E186" s="47"/>
      <c r="F186" s="47"/>
      <c r="G186" s="47"/>
      <c r="H186" s="47"/>
      <c r="I186" s="49"/>
      <c r="J186" s="49"/>
      <c r="K186" s="47"/>
      <c r="L186" s="47"/>
      <c r="M186" s="47"/>
      <c r="N186" s="50"/>
      <c r="O186" s="51"/>
    </row>
    <row r="187" spans="1:15" s="52" customFormat="1">
      <c r="A187" s="47"/>
      <c r="B187" s="47"/>
      <c r="C187" s="47"/>
      <c r="D187" s="47"/>
      <c r="E187" s="47"/>
      <c r="F187" s="47"/>
      <c r="G187" s="47"/>
      <c r="H187" s="47"/>
      <c r="I187" s="49"/>
      <c r="J187" s="49"/>
      <c r="K187" s="47"/>
      <c r="L187" s="47"/>
      <c r="M187" s="47"/>
      <c r="N187" s="50"/>
      <c r="O187" s="51"/>
    </row>
    <row r="188" spans="1:15" s="52" customFormat="1">
      <c r="A188" s="47"/>
      <c r="B188" s="47"/>
      <c r="C188" s="47"/>
      <c r="D188" s="47"/>
      <c r="E188" s="47"/>
      <c r="F188" s="47"/>
      <c r="G188" s="47"/>
      <c r="H188" s="47"/>
      <c r="I188" s="49"/>
      <c r="J188" s="49"/>
      <c r="K188" s="47"/>
      <c r="L188" s="47"/>
      <c r="M188" s="47"/>
      <c r="N188" s="50"/>
      <c r="O188" s="51"/>
    </row>
    <row r="189" spans="1:15" s="52" customFormat="1">
      <c r="A189" s="47"/>
      <c r="B189" s="47"/>
      <c r="C189" s="47"/>
      <c r="D189" s="47"/>
      <c r="E189" s="47"/>
      <c r="F189" s="47"/>
      <c r="G189" s="47"/>
      <c r="H189" s="47"/>
      <c r="I189" s="49"/>
      <c r="J189" s="49"/>
      <c r="K189" s="47"/>
      <c r="L189" s="47"/>
      <c r="M189" s="47"/>
      <c r="N189" s="50"/>
      <c r="O189" s="51"/>
    </row>
    <row r="190" spans="1:15" s="52" customFormat="1">
      <c r="A190" s="47"/>
      <c r="B190" s="47"/>
      <c r="C190" s="47"/>
      <c r="D190" s="47"/>
      <c r="E190" s="47"/>
      <c r="F190" s="47"/>
      <c r="G190" s="47"/>
      <c r="H190" s="47"/>
      <c r="I190" s="49"/>
      <c r="J190" s="49"/>
      <c r="K190" s="47"/>
      <c r="L190" s="47"/>
      <c r="M190" s="47"/>
      <c r="N190" s="50"/>
      <c r="O190" s="51"/>
    </row>
    <row r="191" spans="1:15" s="52" customFormat="1">
      <c r="A191" s="47"/>
      <c r="B191" s="47"/>
      <c r="C191" s="47"/>
      <c r="D191" s="47"/>
      <c r="E191" s="47"/>
      <c r="F191" s="47"/>
      <c r="G191" s="47"/>
      <c r="H191" s="47"/>
      <c r="I191" s="49"/>
      <c r="J191" s="49"/>
      <c r="K191" s="47"/>
      <c r="L191" s="47"/>
      <c r="M191" s="47"/>
      <c r="N191" s="50"/>
      <c r="O191" s="51"/>
    </row>
    <row r="192" spans="1:15" s="52" customFormat="1">
      <c r="A192" s="47"/>
      <c r="B192" s="47"/>
      <c r="C192" s="47"/>
      <c r="D192" s="47"/>
      <c r="E192" s="47"/>
      <c r="F192" s="47"/>
      <c r="G192" s="47"/>
      <c r="H192" s="47"/>
      <c r="I192" s="49"/>
      <c r="J192" s="49"/>
      <c r="K192" s="47"/>
      <c r="L192" s="47"/>
      <c r="M192" s="47"/>
      <c r="N192" s="50"/>
      <c r="O192" s="51"/>
    </row>
    <row r="193" spans="1:15" s="52" customFormat="1">
      <c r="A193" s="47"/>
      <c r="B193" s="47"/>
      <c r="C193" s="47"/>
      <c r="D193" s="47"/>
      <c r="E193" s="47"/>
      <c r="F193" s="47"/>
      <c r="G193" s="47"/>
      <c r="H193" s="47"/>
      <c r="I193" s="49"/>
      <c r="J193" s="49"/>
      <c r="K193" s="47"/>
      <c r="L193" s="47"/>
      <c r="M193" s="47"/>
      <c r="N193" s="50"/>
      <c r="O193" s="51"/>
    </row>
    <row r="194" spans="1:15" s="52" customFormat="1">
      <c r="A194" s="47"/>
      <c r="B194" s="47"/>
      <c r="C194" s="47"/>
      <c r="D194" s="47"/>
      <c r="E194" s="47"/>
      <c r="F194" s="47"/>
      <c r="G194" s="47"/>
      <c r="H194" s="47"/>
      <c r="I194" s="49"/>
      <c r="J194" s="49"/>
      <c r="K194" s="47"/>
      <c r="L194" s="47"/>
      <c r="M194" s="47"/>
      <c r="N194" s="50"/>
      <c r="O194" s="51"/>
    </row>
    <row r="195" spans="1:15" s="52" customFormat="1">
      <c r="A195" s="47"/>
      <c r="B195" s="47"/>
      <c r="C195" s="47"/>
      <c r="D195" s="47"/>
      <c r="E195" s="47"/>
      <c r="F195" s="47"/>
      <c r="G195" s="47"/>
      <c r="H195" s="47"/>
      <c r="I195" s="49"/>
      <c r="J195" s="49"/>
      <c r="K195" s="47"/>
      <c r="L195" s="47"/>
      <c r="M195" s="47"/>
      <c r="N195" s="50"/>
      <c r="O195" s="51"/>
    </row>
    <row r="196" spans="1:15" s="52" customFormat="1">
      <c r="A196" s="47"/>
      <c r="B196" s="47"/>
      <c r="C196" s="47"/>
      <c r="D196" s="47"/>
      <c r="E196" s="47"/>
      <c r="F196" s="47"/>
      <c r="G196" s="47"/>
      <c r="H196" s="47"/>
      <c r="I196" s="49"/>
      <c r="J196" s="49"/>
      <c r="K196" s="47"/>
      <c r="L196" s="47"/>
      <c r="M196" s="47"/>
      <c r="N196" s="50"/>
      <c r="O196" s="51"/>
    </row>
    <row r="197" spans="1:15" s="52" customFormat="1">
      <c r="A197" s="47"/>
      <c r="B197" s="47"/>
      <c r="C197" s="47"/>
      <c r="D197" s="47"/>
      <c r="E197" s="47"/>
      <c r="F197" s="47"/>
      <c r="G197" s="47"/>
      <c r="H197" s="47"/>
      <c r="I197" s="49"/>
      <c r="J197" s="49"/>
      <c r="K197" s="47"/>
      <c r="L197" s="47"/>
      <c r="M197" s="47"/>
      <c r="N197" s="50"/>
      <c r="O197" s="51"/>
    </row>
    <row r="198" spans="1:15" s="52" customFormat="1">
      <c r="A198" s="47"/>
      <c r="B198" s="47"/>
      <c r="C198" s="47"/>
      <c r="D198" s="47"/>
      <c r="E198" s="47"/>
      <c r="F198" s="47"/>
      <c r="G198" s="47"/>
      <c r="H198" s="47"/>
      <c r="I198" s="49"/>
      <c r="J198" s="49"/>
      <c r="K198" s="47"/>
      <c r="L198" s="47"/>
      <c r="M198" s="47"/>
      <c r="N198" s="50"/>
      <c r="O198" s="51"/>
    </row>
    <row r="199" spans="1:15" s="52" customFormat="1">
      <c r="A199" s="47"/>
      <c r="B199" s="47"/>
      <c r="C199" s="47"/>
      <c r="D199" s="47"/>
      <c r="E199" s="47"/>
      <c r="F199" s="47"/>
      <c r="G199" s="47"/>
      <c r="H199" s="47"/>
      <c r="I199" s="49"/>
      <c r="J199" s="49"/>
      <c r="K199" s="47"/>
      <c r="L199" s="47"/>
      <c r="M199" s="47"/>
      <c r="N199" s="50"/>
      <c r="O199" s="51"/>
    </row>
    <row r="200" spans="1:15" s="52" customFormat="1">
      <c r="A200" s="47"/>
      <c r="B200" s="47"/>
      <c r="C200" s="47"/>
      <c r="D200" s="47"/>
      <c r="E200" s="47"/>
      <c r="F200" s="47"/>
      <c r="G200" s="47"/>
      <c r="H200" s="47"/>
      <c r="I200" s="49"/>
      <c r="J200" s="49"/>
      <c r="K200" s="47"/>
      <c r="L200" s="47"/>
      <c r="M200" s="47"/>
      <c r="N200" s="50"/>
      <c r="O200" s="51"/>
    </row>
  </sheetData>
  <mergeCells count="2">
    <mergeCell ref="B2:C2"/>
    <mergeCell ref="D2:H2"/>
  </mergeCells>
  <phoneticPr fontId="6"/>
  <pageMargins left="0.75" right="0.75" top="1" bottom="1" header="0.51200000000000001" footer="0.51200000000000001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0705" r:id="rId4" name="Button 1">
              <controlPr defaultSize="0" print="0" autoFill="0" autoPict="0" macro="[0]!CSV作成">
                <anchor moveWithCells="1" sizeWithCells="1">
                  <from>
                    <xdr:col>9</xdr:col>
                    <xdr:colOff>0</xdr:colOff>
                    <xdr:row>0</xdr:row>
                    <xdr:rowOff>152400</xdr:rowOff>
                  </from>
                  <to>
                    <xdr:col>12</xdr:col>
                    <xdr:colOff>274320</xdr:colOff>
                    <xdr:row>1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/>
  <dimension ref="A1:M5"/>
  <sheetViews>
    <sheetView workbookViewId="0">
      <selection sqref="A1:XFD1048576"/>
    </sheetView>
  </sheetViews>
  <sheetFormatPr defaultColWidth="9" defaultRowHeight="13.2"/>
  <cols>
    <col min="1" max="8" width="9" style="43"/>
    <col min="9" max="9" width="9" style="54"/>
    <col min="10" max="16384" width="9" style="43"/>
  </cols>
  <sheetData>
    <row r="1" spans="1:13">
      <c r="A1" s="43">
        <v>889</v>
      </c>
    </row>
    <row r="2" spans="1:13">
      <c r="A2" s="43">
        <v>1</v>
      </c>
      <c r="B2" s="53">
        <v>20231010</v>
      </c>
      <c r="D2" s="43" t="s">
        <v>54</v>
      </c>
    </row>
    <row r="3" spans="1:13">
      <c r="A3" s="43">
        <v>2</v>
      </c>
      <c r="B3" s="43">
        <v>1</v>
      </c>
      <c r="C3" s="43">
        <v>232760</v>
      </c>
      <c r="D3" s="43">
        <v>4</v>
      </c>
      <c r="E3" s="43">
        <v>1</v>
      </c>
      <c r="F3" s="43">
        <v>4</v>
      </c>
      <c r="G3" s="43">
        <v>0</v>
      </c>
      <c r="K3" s="43" t="s">
        <v>73</v>
      </c>
      <c r="M3" s="43" t="s">
        <v>54</v>
      </c>
    </row>
    <row r="4" spans="1:13">
      <c r="A4" s="43">
        <v>2</v>
      </c>
      <c r="B4" s="43">
        <v>2</v>
      </c>
      <c r="C4" s="43">
        <v>232760</v>
      </c>
      <c r="D4" s="43">
        <v>5</v>
      </c>
      <c r="E4" s="43">
        <v>1</v>
      </c>
      <c r="F4" s="43">
        <v>3</v>
      </c>
      <c r="G4" s="43">
        <v>0</v>
      </c>
      <c r="K4" s="43" t="s">
        <v>74</v>
      </c>
      <c r="M4" s="43" t="s">
        <v>54</v>
      </c>
    </row>
    <row r="5" spans="1:13">
      <c r="A5" s="43">
        <v>2</v>
      </c>
      <c r="B5" s="43">
        <v>3</v>
      </c>
      <c r="C5" s="43">
        <v>239010</v>
      </c>
      <c r="D5" s="43">
        <v>99</v>
      </c>
      <c r="E5" s="43">
        <v>1</v>
      </c>
      <c r="F5" s="43">
        <v>1</v>
      </c>
      <c r="G5" s="43">
        <v>0</v>
      </c>
      <c r="K5" s="43" t="s">
        <v>97</v>
      </c>
      <c r="M5" s="43" t="s">
        <v>54</v>
      </c>
    </row>
  </sheetData>
  <phoneticPr fontId="6"/>
  <pageMargins left="0.75" right="0.75" top="1" bottom="1" header="0.51200000000000001" footer="0.51200000000000001"/>
  <pageSetup paperSize="9" orientation="portrait" horizontalDpi="1200" verticalDpi="12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5">
    <tabColor rgb="FF00B0F0"/>
    <pageSetUpPr fitToPage="1"/>
  </sheetPr>
  <dimension ref="A1:Q339"/>
  <sheetViews>
    <sheetView tabSelected="1" zoomScaleNormal="100" zoomScaleSheetLayoutView="100" workbookViewId="0">
      <pane xSplit="3" ySplit="2" topLeftCell="D3" activePane="bottomRight" state="frozen"/>
      <selection activeCell="A3" sqref="A3"/>
      <selection pane="topRight" activeCell="A3" sqref="A3"/>
      <selection pane="bottomLeft" activeCell="A3" sqref="A3"/>
      <selection pane="bottomRight" activeCell="F9" sqref="F9"/>
    </sheetView>
  </sheetViews>
  <sheetFormatPr defaultColWidth="9" defaultRowHeight="19.5" customHeight="1"/>
  <cols>
    <col min="1" max="1" width="9.77734375" style="1" bestFit="1" customWidth="1"/>
    <col min="2" max="3" width="6.33203125" style="2" customWidth="1"/>
    <col min="4" max="4" width="6.6640625" style="12" customWidth="1"/>
    <col min="5" max="7" width="13.77734375" style="2" customWidth="1"/>
    <col min="8" max="8" width="13.77734375" style="2" hidden="1" customWidth="1"/>
    <col min="9" max="9" width="30.109375" style="3" customWidth="1"/>
    <col min="10" max="10" width="9.6640625" style="2" customWidth="1"/>
    <col min="11" max="11" width="19.44140625" style="3" hidden="1" customWidth="1"/>
    <col min="12" max="12" width="12.21875" style="2" hidden="1" customWidth="1"/>
    <col min="13" max="13" width="14.77734375" style="63" customWidth="1"/>
    <col min="14" max="14" width="8.6640625" style="3" customWidth="1"/>
    <col min="15" max="15" width="58.44140625" style="3" customWidth="1"/>
    <col min="16" max="16" width="8.33203125" style="3" bestFit="1" customWidth="1"/>
    <col min="17" max="16384" width="9" style="3"/>
  </cols>
  <sheetData>
    <row r="1" spans="1:17" ht="19.5" customHeight="1">
      <c r="A1" s="17" t="s">
        <v>15</v>
      </c>
      <c r="B1" s="18">
        <v>1596</v>
      </c>
      <c r="C1" s="18" t="s">
        <v>18</v>
      </c>
      <c r="D1" s="19" t="s">
        <v>67</v>
      </c>
      <c r="E1" s="18"/>
      <c r="F1" s="18" t="s">
        <v>19</v>
      </c>
      <c r="G1" s="18">
        <v>1</v>
      </c>
      <c r="H1" s="18" t="s">
        <v>20</v>
      </c>
      <c r="I1" s="20">
        <v>0</v>
      </c>
      <c r="J1" s="18"/>
      <c r="K1" s="20"/>
      <c r="L1" s="18"/>
      <c r="M1" s="66" t="s">
        <v>8</v>
      </c>
      <c r="N1" s="66"/>
      <c r="O1" s="66"/>
      <c r="P1" s="20"/>
    </row>
    <row r="2" spans="1:17" ht="19.5" customHeight="1">
      <c r="A2" s="21" t="s">
        <v>2</v>
      </c>
      <c r="B2" s="22" t="s">
        <v>16</v>
      </c>
      <c r="C2" s="22" t="s">
        <v>17</v>
      </c>
      <c r="D2" s="23" t="s">
        <v>14</v>
      </c>
      <c r="E2" s="58" t="s">
        <v>3</v>
      </c>
      <c r="F2" s="58" t="s">
        <v>7</v>
      </c>
      <c r="G2" s="58" t="s">
        <v>11</v>
      </c>
      <c r="H2" s="58"/>
      <c r="I2" s="58" t="s">
        <v>61</v>
      </c>
      <c r="J2" s="24" t="s">
        <v>10</v>
      </c>
      <c r="K2" s="25" t="s">
        <v>12</v>
      </c>
      <c r="L2" s="57" t="s">
        <v>62</v>
      </c>
      <c r="M2" s="59" t="s">
        <v>0</v>
      </c>
      <c r="N2" s="60" t="s">
        <v>1</v>
      </c>
      <c r="O2" s="60" t="s">
        <v>9</v>
      </c>
      <c r="P2" s="61" t="s">
        <v>22</v>
      </c>
    </row>
    <row r="3" spans="1:17" s="9" customFormat="1" ht="19.5" customHeight="1">
      <c r="A3" s="26">
        <v>45209</v>
      </c>
      <c r="B3" s="27">
        <v>4</v>
      </c>
      <c r="C3" s="30"/>
      <c r="D3" s="28">
        <f t="shared" ref="D3:D57" si="0">ROUNDUP((B3+C3)/8,3)</f>
        <v>0.5</v>
      </c>
      <c r="E3" s="29"/>
      <c r="F3" s="29"/>
      <c r="G3" s="29"/>
      <c r="H3" s="29"/>
      <c r="I3" s="4" t="s">
        <v>73</v>
      </c>
      <c r="J3" s="29">
        <f>VLOOKUP(I3,コード!$J$4:$K$31,2,FALSE)</f>
        <v>4</v>
      </c>
      <c r="K3" s="13" t="str">
        <f t="shared" ref="K3:K4" si="1">F3&amp;G3</f>
        <v/>
      </c>
      <c r="L3" s="29"/>
      <c r="M3" s="62" t="s">
        <v>64</v>
      </c>
      <c r="N3" s="14">
        <f>VLOOKUP(M3,コード!$A$2:$C$345,2,FALSE)</f>
        <v>232760</v>
      </c>
      <c r="O3" s="15" t="str">
        <f t="shared" ref="O3:O55" si="2">I3</f>
        <v>ﾌﾟﾛｸﾞﾗﾑ開発</v>
      </c>
      <c r="P3" s="15">
        <v>1</v>
      </c>
    </row>
    <row r="4" spans="1:17" s="9" customFormat="1" ht="19.5" customHeight="1">
      <c r="A4" s="26">
        <v>45209</v>
      </c>
      <c r="B4" s="27">
        <v>3</v>
      </c>
      <c r="C4" s="30"/>
      <c r="D4" s="28">
        <f t="shared" si="0"/>
        <v>0.375</v>
      </c>
      <c r="E4" s="29"/>
      <c r="F4" s="29"/>
      <c r="G4" s="29"/>
      <c r="H4" s="29"/>
      <c r="I4" s="4" t="s">
        <v>74</v>
      </c>
      <c r="J4" s="29">
        <f>VLOOKUP(I4,コード!$J$4:$K$31,2,FALSE)</f>
        <v>5</v>
      </c>
      <c r="K4" s="13" t="str">
        <f t="shared" si="1"/>
        <v/>
      </c>
      <c r="L4" s="29"/>
      <c r="M4" s="62" t="s">
        <v>64</v>
      </c>
      <c r="N4" s="14">
        <f>VLOOKUP(M4,コード!$A$2:$C$345,2,FALSE)</f>
        <v>232760</v>
      </c>
      <c r="O4" s="15" t="str">
        <f t="shared" si="2"/>
        <v>ﾌﾟﾛｸﾞﾗﾑ検証</v>
      </c>
      <c r="P4" s="15">
        <v>1</v>
      </c>
    </row>
    <row r="5" spans="1:17" s="9" customFormat="1" ht="19.5" customHeight="1">
      <c r="A5" s="26">
        <v>45209</v>
      </c>
      <c r="B5" s="27">
        <v>1</v>
      </c>
      <c r="C5" s="30"/>
      <c r="D5" s="28">
        <f t="shared" si="0"/>
        <v>0.125</v>
      </c>
      <c r="E5" s="29"/>
      <c r="F5" s="29"/>
      <c r="G5" s="29"/>
      <c r="H5" s="29"/>
      <c r="I5" s="4" t="s">
        <v>97</v>
      </c>
      <c r="J5" s="29">
        <f>VLOOKUP(I5,コード!$J$4:$K$31,2,FALSE)</f>
        <v>99</v>
      </c>
      <c r="K5" s="13" t="str">
        <f t="shared" ref="K5" si="3">F5&amp;G5</f>
        <v/>
      </c>
      <c r="L5" s="29"/>
      <c r="M5" s="62" t="s">
        <v>56</v>
      </c>
      <c r="N5" s="14">
        <f>VLOOKUP(M5,コード!$A$2:$C$345,2,FALSE)</f>
        <v>239010</v>
      </c>
      <c r="O5" s="15" t="str">
        <f t="shared" si="2"/>
        <v>その他</v>
      </c>
      <c r="P5" s="15">
        <v>1</v>
      </c>
    </row>
    <row r="6" spans="1:17" s="9" customFormat="1" ht="19.5" customHeight="1">
      <c r="A6" s="26"/>
      <c r="B6" s="27"/>
      <c r="C6" s="30"/>
      <c r="D6" s="28">
        <f t="shared" si="0"/>
        <v>0</v>
      </c>
      <c r="E6" s="29"/>
      <c r="F6" s="29"/>
      <c r="G6" s="29"/>
      <c r="H6" s="29"/>
      <c r="I6" s="4"/>
      <c r="J6" s="29" t="e">
        <f>VLOOKUP(I6,コード!$J$4:$K$31,2,FALSE)</f>
        <v>#N/A</v>
      </c>
      <c r="K6" s="13" t="str">
        <f t="shared" ref="K6:K17" si="4">F6&amp;G6</f>
        <v/>
      </c>
      <c r="L6" s="29"/>
      <c r="M6" s="62"/>
      <c r="N6" s="14" t="e">
        <f>VLOOKUP(M6,コード!$A$2:$C$345,2,FALSE)</f>
        <v>#N/A</v>
      </c>
      <c r="O6" s="15">
        <f t="shared" si="2"/>
        <v>0</v>
      </c>
      <c r="P6" s="15"/>
    </row>
    <row r="7" spans="1:17" s="9" customFormat="1" ht="19.5" customHeight="1">
      <c r="A7" s="26"/>
      <c r="B7" s="27"/>
      <c r="C7" s="30"/>
      <c r="D7" s="28">
        <f t="shared" si="0"/>
        <v>0</v>
      </c>
      <c r="E7" s="29"/>
      <c r="F7" s="29"/>
      <c r="G7" s="29"/>
      <c r="H7" s="29"/>
      <c r="I7" s="4"/>
      <c r="J7" s="29" t="e">
        <f>VLOOKUP(I7,コード!$J$4:$K$31,2,FALSE)</f>
        <v>#N/A</v>
      </c>
      <c r="K7" s="13" t="str">
        <f t="shared" si="4"/>
        <v/>
      </c>
      <c r="L7" s="29"/>
      <c r="M7" s="62"/>
      <c r="N7" s="14" t="e">
        <f>VLOOKUP(M7,コード!$A$2:$C$345,2,FALSE)</f>
        <v>#N/A</v>
      </c>
      <c r="O7" s="15">
        <f t="shared" si="2"/>
        <v>0</v>
      </c>
      <c r="P7" s="15"/>
    </row>
    <row r="8" spans="1:17" s="9" customFormat="1" ht="19.5" customHeight="1">
      <c r="A8" s="26"/>
      <c r="B8" s="27"/>
      <c r="C8" s="30"/>
      <c r="D8" s="28">
        <f t="shared" si="0"/>
        <v>0</v>
      </c>
      <c r="E8" s="29"/>
      <c r="F8" s="29"/>
      <c r="G8" s="29"/>
      <c r="H8" s="29"/>
      <c r="I8" s="4"/>
      <c r="J8" s="29" t="e">
        <f>VLOOKUP(I8,コード!$J$4:$K$31,2,FALSE)</f>
        <v>#N/A</v>
      </c>
      <c r="K8" s="13" t="str">
        <f t="shared" si="4"/>
        <v/>
      </c>
      <c r="L8" s="29"/>
      <c r="M8" s="62"/>
      <c r="N8" s="14" t="e">
        <f>VLOOKUP(M8,コード!$A$2:$C$345,2,FALSE)</f>
        <v>#N/A</v>
      </c>
      <c r="O8" s="15">
        <f t="shared" si="2"/>
        <v>0</v>
      </c>
      <c r="P8" s="15"/>
    </row>
    <row r="9" spans="1:17" s="9" customFormat="1" ht="19.5" customHeight="1">
      <c r="A9" s="26"/>
      <c r="B9" s="27"/>
      <c r="C9" s="30"/>
      <c r="D9" s="28">
        <f t="shared" si="0"/>
        <v>0</v>
      </c>
      <c r="E9" s="29"/>
      <c r="F9" s="29"/>
      <c r="G9" s="29"/>
      <c r="H9" s="29"/>
      <c r="I9" s="4"/>
      <c r="J9" s="29" t="e">
        <f>VLOOKUP(I9,コード!$J$4:$K$31,2,FALSE)</f>
        <v>#N/A</v>
      </c>
      <c r="K9" s="13" t="str">
        <f t="shared" si="4"/>
        <v/>
      </c>
      <c r="L9" s="29"/>
      <c r="M9" s="62"/>
      <c r="N9" s="14" t="e">
        <f>VLOOKUP(M9,コード!$A$2:$C$345,2,FALSE)</f>
        <v>#N/A</v>
      </c>
      <c r="O9" s="15">
        <f t="shared" si="2"/>
        <v>0</v>
      </c>
      <c r="P9" s="15"/>
    </row>
    <row r="10" spans="1:17" s="9" customFormat="1" ht="19.5" customHeight="1">
      <c r="A10" s="26"/>
      <c r="B10" s="27"/>
      <c r="C10" s="30"/>
      <c r="D10" s="28">
        <f t="shared" si="0"/>
        <v>0</v>
      </c>
      <c r="E10" s="29"/>
      <c r="F10" s="29"/>
      <c r="G10" s="29"/>
      <c r="H10" s="29"/>
      <c r="I10" s="4"/>
      <c r="J10" s="29" t="e">
        <f>VLOOKUP(I10,コード!$J$4:$K$31,2,FALSE)</f>
        <v>#N/A</v>
      </c>
      <c r="K10" s="13" t="str">
        <f t="shared" si="4"/>
        <v/>
      </c>
      <c r="L10" s="29"/>
      <c r="M10" s="62"/>
      <c r="N10" s="14" t="e">
        <f>VLOOKUP(M10,コード!$A$2:$C$345,2,FALSE)</f>
        <v>#N/A</v>
      </c>
      <c r="O10" s="15">
        <f t="shared" si="2"/>
        <v>0</v>
      </c>
      <c r="P10" s="15"/>
    </row>
    <row r="11" spans="1:17" s="9" customFormat="1" ht="19.5" customHeight="1">
      <c r="A11" s="26"/>
      <c r="B11" s="27"/>
      <c r="C11" s="30"/>
      <c r="D11" s="28">
        <f t="shared" si="0"/>
        <v>0</v>
      </c>
      <c r="E11" s="29"/>
      <c r="F11" s="29"/>
      <c r="G11" s="29"/>
      <c r="H11" s="29"/>
      <c r="I11" s="4"/>
      <c r="J11" s="29" t="e">
        <f>VLOOKUP(I11,コード!$J$4:$K$31,2,FALSE)</f>
        <v>#N/A</v>
      </c>
      <c r="K11" s="13" t="str">
        <f t="shared" si="4"/>
        <v/>
      </c>
      <c r="L11" s="29"/>
      <c r="M11" s="62"/>
      <c r="N11" s="14" t="e">
        <f>VLOOKUP(M11,コード!$A$2:$C$345,2,FALSE)</f>
        <v>#N/A</v>
      </c>
      <c r="O11" s="15">
        <f t="shared" si="2"/>
        <v>0</v>
      </c>
      <c r="P11" s="15"/>
    </row>
    <row r="12" spans="1:17" s="9" customFormat="1" ht="19.5" customHeight="1">
      <c r="A12" s="26"/>
      <c r="B12" s="27"/>
      <c r="C12" s="30"/>
      <c r="D12" s="28">
        <f t="shared" si="0"/>
        <v>0</v>
      </c>
      <c r="E12" s="29"/>
      <c r="F12" s="29"/>
      <c r="G12" s="29"/>
      <c r="H12" s="29"/>
      <c r="I12" s="4"/>
      <c r="J12" s="29" t="e">
        <f>VLOOKUP(I12,コード!$J$4:$K$31,2,FALSE)</f>
        <v>#N/A</v>
      </c>
      <c r="K12" s="13" t="str">
        <f t="shared" si="4"/>
        <v/>
      </c>
      <c r="L12" s="29"/>
      <c r="M12" s="62"/>
      <c r="N12" s="14" t="e">
        <f>VLOOKUP(M12,コード!$A$2:$C$345,2,FALSE)</f>
        <v>#N/A</v>
      </c>
      <c r="O12" s="15">
        <f t="shared" si="2"/>
        <v>0</v>
      </c>
      <c r="P12" s="15"/>
      <c r="Q12" s="10"/>
    </row>
    <row r="13" spans="1:17" s="9" customFormat="1" ht="19.5" customHeight="1">
      <c r="A13" s="26"/>
      <c r="B13" s="27"/>
      <c r="C13" s="30"/>
      <c r="D13" s="28">
        <f t="shared" si="0"/>
        <v>0</v>
      </c>
      <c r="E13" s="29"/>
      <c r="F13" s="29"/>
      <c r="G13" s="29"/>
      <c r="H13" s="29"/>
      <c r="I13" s="4"/>
      <c r="J13" s="29" t="e">
        <f>VLOOKUP(I13,コード!$J$4:$K$31,2,FALSE)</f>
        <v>#N/A</v>
      </c>
      <c r="K13" s="13" t="str">
        <f t="shared" si="4"/>
        <v/>
      </c>
      <c r="L13" s="29"/>
      <c r="M13" s="62"/>
      <c r="N13" s="14" t="e">
        <f>VLOOKUP(M13,コード!$A$2:$C$345,2,FALSE)</f>
        <v>#N/A</v>
      </c>
      <c r="O13" s="15">
        <f t="shared" si="2"/>
        <v>0</v>
      </c>
      <c r="P13" s="15"/>
      <c r="Q13" s="10"/>
    </row>
    <row r="14" spans="1:17" s="9" customFormat="1" ht="19.5" customHeight="1">
      <c r="A14" s="26"/>
      <c r="B14" s="27"/>
      <c r="C14" s="30"/>
      <c r="D14" s="28">
        <f t="shared" si="0"/>
        <v>0</v>
      </c>
      <c r="E14" s="29"/>
      <c r="F14" s="29"/>
      <c r="G14" s="29"/>
      <c r="H14" s="29"/>
      <c r="I14" s="4"/>
      <c r="J14" s="29" t="e">
        <f>VLOOKUP(I14,コード!$J$4:$K$31,2,FALSE)</f>
        <v>#N/A</v>
      </c>
      <c r="K14" s="13" t="str">
        <f t="shared" si="4"/>
        <v/>
      </c>
      <c r="L14" s="29"/>
      <c r="M14" s="62"/>
      <c r="N14" s="14" t="e">
        <f>VLOOKUP(M14,コード!$A$2:$C$345,2,FALSE)</f>
        <v>#N/A</v>
      </c>
      <c r="O14" s="15">
        <f t="shared" si="2"/>
        <v>0</v>
      </c>
      <c r="P14" s="15"/>
    </row>
    <row r="15" spans="1:17" s="9" customFormat="1" ht="19.5" customHeight="1">
      <c r="A15" s="26"/>
      <c r="B15" s="27"/>
      <c r="C15" s="30"/>
      <c r="D15" s="28">
        <f t="shared" si="0"/>
        <v>0</v>
      </c>
      <c r="E15" s="29"/>
      <c r="F15" s="29"/>
      <c r="G15" s="29"/>
      <c r="H15" s="29"/>
      <c r="I15" s="4"/>
      <c r="J15" s="29" t="e">
        <f>VLOOKUP(I15,コード!$J$4:$K$31,2,FALSE)</f>
        <v>#N/A</v>
      </c>
      <c r="K15" s="13" t="str">
        <f t="shared" si="4"/>
        <v/>
      </c>
      <c r="L15" s="29"/>
      <c r="M15" s="62"/>
      <c r="N15" s="14" t="e">
        <f>VLOOKUP(M15,コード!$A$2:$C$345,2,FALSE)</f>
        <v>#N/A</v>
      </c>
      <c r="O15" s="15">
        <f t="shared" si="2"/>
        <v>0</v>
      </c>
      <c r="P15" s="15"/>
    </row>
    <row r="16" spans="1:17" s="9" customFormat="1" ht="19.5" customHeight="1">
      <c r="A16" s="26"/>
      <c r="B16" s="27"/>
      <c r="C16" s="30"/>
      <c r="D16" s="28">
        <f t="shared" si="0"/>
        <v>0</v>
      </c>
      <c r="E16" s="29"/>
      <c r="F16" s="29"/>
      <c r="G16" s="29"/>
      <c r="H16" s="29"/>
      <c r="I16" s="4"/>
      <c r="J16" s="29" t="e">
        <f>VLOOKUP(I16,コード!$J$4:$K$31,2,FALSE)</f>
        <v>#N/A</v>
      </c>
      <c r="K16" s="13" t="str">
        <f t="shared" si="4"/>
        <v/>
      </c>
      <c r="L16" s="29"/>
      <c r="M16" s="62"/>
      <c r="N16" s="14" t="e">
        <f>VLOOKUP(M16,コード!$A$2:$C$345,2,FALSE)</f>
        <v>#N/A</v>
      </c>
      <c r="O16" s="15">
        <f t="shared" si="2"/>
        <v>0</v>
      </c>
      <c r="P16" s="15"/>
      <c r="Q16" s="11"/>
    </row>
    <row r="17" spans="1:17" s="9" customFormat="1" ht="19.5" customHeight="1">
      <c r="A17" s="26"/>
      <c r="B17" s="27"/>
      <c r="C17" s="30"/>
      <c r="D17" s="28">
        <f>ROUNDUP((B17+C17)/8,3)</f>
        <v>0</v>
      </c>
      <c r="E17" s="29"/>
      <c r="F17" s="29"/>
      <c r="G17" s="29"/>
      <c r="H17" s="29"/>
      <c r="I17" s="4"/>
      <c r="J17" s="29" t="e">
        <f>VLOOKUP(I17,コード!$J$4:$K$31,2,FALSE)</f>
        <v>#N/A</v>
      </c>
      <c r="K17" s="13" t="str">
        <f t="shared" si="4"/>
        <v/>
      </c>
      <c r="L17" s="29"/>
      <c r="M17" s="62"/>
      <c r="N17" s="14" t="e">
        <f>VLOOKUP(M17,コード!$A$2:$C$345,2,FALSE)</f>
        <v>#N/A</v>
      </c>
      <c r="O17" s="15">
        <f t="shared" si="2"/>
        <v>0</v>
      </c>
      <c r="P17" s="15"/>
      <c r="Q17" s="11"/>
    </row>
    <row r="18" spans="1:17" s="9" customFormat="1" ht="19.5" customHeight="1">
      <c r="A18" s="26"/>
      <c r="B18" s="27"/>
      <c r="C18" s="30"/>
      <c r="D18" s="28">
        <f t="shared" si="0"/>
        <v>0</v>
      </c>
      <c r="E18" s="29"/>
      <c r="F18" s="29"/>
      <c r="G18" s="29"/>
      <c r="H18" s="29"/>
      <c r="I18" s="4"/>
      <c r="J18" s="29" t="e">
        <f>VLOOKUP(I18,コード!$J$4:$K$31,2,FALSE)</f>
        <v>#N/A</v>
      </c>
      <c r="K18" s="13" t="str">
        <f t="shared" ref="K18:K26" si="5">F18&amp;G18</f>
        <v/>
      </c>
      <c r="L18" s="29"/>
      <c r="M18" s="62"/>
      <c r="N18" s="14" t="e">
        <f>VLOOKUP(M18,コード!$A$2:$C$345,2,FALSE)</f>
        <v>#N/A</v>
      </c>
      <c r="O18" s="15">
        <f t="shared" si="2"/>
        <v>0</v>
      </c>
      <c r="P18" s="15"/>
    </row>
    <row r="19" spans="1:17" s="9" customFormat="1" ht="19.5" customHeight="1">
      <c r="A19" s="26"/>
      <c r="B19" s="27"/>
      <c r="C19" s="30"/>
      <c r="D19" s="28">
        <f t="shared" si="0"/>
        <v>0</v>
      </c>
      <c r="E19" s="29"/>
      <c r="F19" s="29"/>
      <c r="G19" s="29"/>
      <c r="H19" s="29"/>
      <c r="I19" s="4"/>
      <c r="J19" s="29" t="e">
        <f>VLOOKUP(I19,コード!$J$4:$K$31,2,FALSE)</f>
        <v>#N/A</v>
      </c>
      <c r="K19" s="13" t="str">
        <f t="shared" si="5"/>
        <v/>
      </c>
      <c r="L19" s="29"/>
      <c r="M19" s="62"/>
      <c r="N19" s="14" t="e">
        <f>VLOOKUP(M19,コード!$A$2:$C$345,2,FALSE)</f>
        <v>#N/A</v>
      </c>
      <c r="O19" s="15">
        <f t="shared" si="2"/>
        <v>0</v>
      </c>
      <c r="P19" s="15"/>
    </row>
    <row r="20" spans="1:17" s="9" customFormat="1" ht="19.5" customHeight="1">
      <c r="A20" s="26"/>
      <c r="B20" s="27"/>
      <c r="C20" s="30"/>
      <c r="D20" s="28">
        <f t="shared" si="0"/>
        <v>0</v>
      </c>
      <c r="E20" s="29"/>
      <c r="F20" s="29"/>
      <c r="G20" s="29"/>
      <c r="H20" s="29"/>
      <c r="I20" s="4"/>
      <c r="J20" s="29" t="e">
        <f>VLOOKUP(I20,コード!$J$4:$K$31,2,FALSE)</f>
        <v>#N/A</v>
      </c>
      <c r="K20" s="13" t="str">
        <f t="shared" si="5"/>
        <v/>
      </c>
      <c r="L20" s="29"/>
      <c r="M20" s="62"/>
      <c r="N20" s="14" t="e">
        <f>VLOOKUP(M20,コード!$A$2:$C$345,2,FALSE)</f>
        <v>#N/A</v>
      </c>
      <c r="O20" s="15">
        <f t="shared" si="2"/>
        <v>0</v>
      </c>
      <c r="P20" s="15"/>
    </row>
    <row r="21" spans="1:17" s="9" customFormat="1" ht="19.5" customHeight="1">
      <c r="A21" s="26"/>
      <c r="B21" s="27"/>
      <c r="C21" s="30"/>
      <c r="D21" s="28">
        <f t="shared" si="0"/>
        <v>0</v>
      </c>
      <c r="E21" s="29"/>
      <c r="F21" s="29"/>
      <c r="G21" s="29"/>
      <c r="H21" s="29"/>
      <c r="I21" s="4"/>
      <c r="J21" s="29" t="e">
        <f>VLOOKUP(I21,コード!$J$4:$K$31,2,FALSE)</f>
        <v>#N/A</v>
      </c>
      <c r="K21" s="13" t="str">
        <f t="shared" si="5"/>
        <v/>
      </c>
      <c r="L21" s="29"/>
      <c r="M21" s="62"/>
      <c r="N21" s="14" t="e">
        <f>VLOOKUP(M21,コード!$A$2:$C$345,2,FALSE)</f>
        <v>#N/A</v>
      </c>
      <c r="O21" s="15">
        <f t="shared" si="2"/>
        <v>0</v>
      </c>
      <c r="P21" s="15"/>
    </row>
    <row r="22" spans="1:17" s="9" customFormat="1" ht="19.5" customHeight="1">
      <c r="A22" s="26"/>
      <c r="B22" s="27"/>
      <c r="C22" s="30"/>
      <c r="D22" s="28">
        <f t="shared" si="0"/>
        <v>0</v>
      </c>
      <c r="E22" s="29"/>
      <c r="F22" s="29"/>
      <c r="G22" s="29"/>
      <c r="H22" s="29"/>
      <c r="I22" s="4"/>
      <c r="J22" s="29" t="e">
        <f>VLOOKUP(I22,コード!$J$4:$K$31,2,FALSE)</f>
        <v>#N/A</v>
      </c>
      <c r="K22" s="13" t="str">
        <f t="shared" si="5"/>
        <v/>
      </c>
      <c r="L22" s="29"/>
      <c r="M22" s="62"/>
      <c r="N22" s="14" t="e">
        <f>VLOOKUP(M22,コード!$A$2:$C$345,2,FALSE)</f>
        <v>#N/A</v>
      </c>
      <c r="O22" s="15">
        <f t="shared" si="2"/>
        <v>0</v>
      </c>
      <c r="P22" s="15"/>
    </row>
    <row r="23" spans="1:17" s="9" customFormat="1" ht="19.5" customHeight="1">
      <c r="A23" s="26"/>
      <c r="B23" s="27"/>
      <c r="C23" s="30"/>
      <c r="D23" s="28">
        <f t="shared" si="0"/>
        <v>0</v>
      </c>
      <c r="E23" s="29"/>
      <c r="F23" s="29"/>
      <c r="G23" s="29"/>
      <c r="H23" s="29"/>
      <c r="I23" s="4"/>
      <c r="J23" s="29" t="e">
        <f>VLOOKUP(I23,コード!$J$4:$K$31,2,FALSE)</f>
        <v>#N/A</v>
      </c>
      <c r="K23" s="13" t="str">
        <f t="shared" si="5"/>
        <v/>
      </c>
      <c r="L23" s="29"/>
      <c r="M23" s="62"/>
      <c r="N23" s="14" t="e">
        <f>VLOOKUP(M23,コード!$A$2:$C$345,2,FALSE)</f>
        <v>#N/A</v>
      </c>
      <c r="O23" s="15">
        <f t="shared" si="2"/>
        <v>0</v>
      </c>
      <c r="P23" s="15"/>
    </row>
    <row r="24" spans="1:17" s="9" customFormat="1" ht="19.5" customHeight="1">
      <c r="A24" s="26"/>
      <c r="B24" s="27"/>
      <c r="C24" s="30"/>
      <c r="D24" s="28">
        <f t="shared" si="0"/>
        <v>0</v>
      </c>
      <c r="E24" s="29"/>
      <c r="F24" s="29"/>
      <c r="G24" s="29"/>
      <c r="H24" s="29"/>
      <c r="I24" s="4"/>
      <c r="J24" s="29" t="e">
        <f>VLOOKUP(I24,コード!$J$4:$K$31,2,FALSE)</f>
        <v>#N/A</v>
      </c>
      <c r="K24" s="13" t="str">
        <f t="shared" si="5"/>
        <v/>
      </c>
      <c r="L24" s="29"/>
      <c r="M24" s="62"/>
      <c r="N24" s="14" t="e">
        <f>VLOOKUP(M24,コード!$A$2:$C$345,2,FALSE)</f>
        <v>#N/A</v>
      </c>
      <c r="O24" s="15">
        <f t="shared" si="2"/>
        <v>0</v>
      </c>
      <c r="P24" s="15"/>
    </row>
    <row r="25" spans="1:17" s="9" customFormat="1" ht="19.5" customHeight="1">
      <c r="A25" s="26"/>
      <c r="B25" s="27"/>
      <c r="C25" s="30"/>
      <c r="D25" s="28">
        <f t="shared" si="0"/>
        <v>0</v>
      </c>
      <c r="E25" s="29"/>
      <c r="F25" s="29"/>
      <c r="G25" s="29"/>
      <c r="H25" s="29"/>
      <c r="I25" s="4"/>
      <c r="J25" s="29" t="e">
        <f>VLOOKUP(I25,コード!$J$4:$K$31,2,FALSE)</f>
        <v>#N/A</v>
      </c>
      <c r="K25" s="13" t="str">
        <f t="shared" si="5"/>
        <v/>
      </c>
      <c r="L25" s="29"/>
      <c r="M25" s="62"/>
      <c r="N25" s="14" t="e">
        <f>VLOOKUP(M25,コード!$A$2:$C$345,2,FALSE)</f>
        <v>#N/A</v>
      </c>
      <c r="O25" s="15">
        <f t="shared" si="2"/>
        <v>0</v>
      </c>
      <c r="P25" s="15"/>
    </row>
    <row r="26" spans="1:17" s="9" customFormat="1" ht="19.5" customHeight="1">
      <c r="A26" s="26"/>
      <c r="B26" s="27"/>
      <c r="C26" s="30"/>
      <c r="D26" s="28">
        <f t="shared" si="0"/>
        <v>0</v>
      </c>
      <c r="E26" s="29"/>
      <c r="F26" s="29"/>
      <c r="G26" s="29"/>
      <c r="H26" s="29"/>
      <c r="I26" s="4"/>
      <c r="J26" s="29" t="e">
        <f>VLOOKUP(I26,コード!$J$4:$K$31,2,FALSE)</f>
        <v>#N/A</v>
      </c>
      <c r="K26" s="13" t="str">
        <f t="shared" si="5"/>
        <v/>
      </c>
      <c r="L26" s="29"/>
      <c r="M26" s="62"/>
      <c r="N26" s="14" t="e">
        <f>VLOOKUP(M26,コード!$A$2:$C$345,2,FALSE)</f>
        <v>#N/A</v>
      </c>
      <c r="O26" s="15">
        <f t="shared" si="2"/>
        <v>0</v>
      </c>
      <c r="P26" s="15"/>
    </row>
    <row r="27" spans="1:17" s="9" customFormat="1" ht="19.5" customHeight="1">
      <c r="A27" s="26"/>
      <c r="B27" s="27"/>
      <c r="C27" s="30"/>
      <c r="D27" s="28">
        <f t="shared" ref="D27:D30" si="6">ROUNDUP((B27+C27)/8,3)</f>
        <v>0</v>
      </c>
      <c r="E27" s="29"/>
      <c r="F27" s="29"/>
      <c r="G27" s="29"/>
      <c r="H27" s="29"/>
      <c r="I27" s="4"/>
      <c r="J27" s="29" t="e">
        <f>VLOOKUP(I27,コード!$J$4:$K$31,2,FALSE)</f>
        <v>#N/A</v>
      </c>
      <c r="K27" s="13" t="str">
        <f t="shared" ref="K27" si="7">F27&amp;G27</f>
        <v/>
      </c>
      <c r="L27" s="29"/>
      <c r="M27" s="62"/>
      <c r="N27" s="14" t="e">
        <f>VLOOKUP(M27,コード!$A$2:$C$345,2,FALSE)</f>
        <v>#N/A</v>
      </c>
      <c r="O27" s="15">
        <f t="shared" si="2"/>
        <v>0</v>
      </c>
      <c r="P27" s="15"/>
    </row>
    <row r="28" spans="1:17" s="9" customFormat="1" ht="19.5" customHeight="1">
      <c r="A28" s="26"/>
      <c r="B28" s="27"/>
      <c r="C28" s="30"/>
      <c r="D28" s="28">
        <f t="shared" si="6"/>
        <v>0</v>
      </c>
      <c r="E28" s="29"/>
      <c r="F28" s="29"/>
      <c r="G28" s="29"/>
      <c r="H28" s="29"/>
      <c r="I28" s="4"/>
      <c r="J28" s="29"/>
      <c r="K28" s="13" t="str">
        <f t="shared" ref="K28:K42" si="8">F28&amp;G28</f>
        <v/>
      </c>
      <c r="L28" s="29"/>
      <c r="M28" s="62"/>
      <c r="N28" s="14" t="e">
        <f>VLOOKUP(M28,コード!$A$2:$C$345,2,FALSE)</f>
        <v>#N/A</v>
      </c>
      <c r="O28" s="15">
        <f t="shared" si="2"/>
        <v>0</v>
      </c>
      <c r="P28" s="15"/>
    </row>
    <row r="29" spans="1:17" s="9" customFormat="1" ht="19.5" customHeight="1">
      <c r="A29" s="26"/>
      <c r="B29" s="27"/>
      <c r="C29" s="30"/>
      <c r="D29" s="28">
        <f t="shared" si="6"/>
        <v>0</v>
      </c>
      <c r="E29" s="29"/>
      <c r="F29" s="29"/>
      <c r="G29" s="29"/>
      <c r="H29" s="29"/>
      <c r="I29" s="4"/>
      <c r="J29" s="29"/>
      <c r="K29" s="13" t="str">
        <f t="shared" si="8"/>
        <v/>
      </c>
      <c r="L29" s="29"/>
      <c r="M29" s="62"/>
      <c r="N29" s="14" t="e">
        <f>VLOOKUP(M29,コード!$A$2:$C$345,2,FALSE)</f>
        <v>#N/A</v>
      </c>
      <c r="O29" s="15">
        <f t="shared" si="2"/>
        <v>0</v>
      </c>
      <c r="P29" s="15"/>
    </row>
    <row r="30" spans="1:17" s="9" customFormat="1" ht="19.5" customHeight="1">
      <c r="A30" s="26"/>
      <c r="B30" s="27"/>
      <c r="C30" s="30"/>
      <c r="D30" s="28">
        <f t="shared" si="6"/>
        <v>0</v>
      </c>
      <c r="E30" s="29"/>
      <c r="F30" s="29"/>
      <c r="G30" s="29"/>
      <c r="H30" s="29"/>
      <c r="I30" s="4"/>
      <c r="J30" s="29"/>
      <c r="K30" s="13" t="str">
        <f t="shared" si="8"/>
        <v/>
      </c>
      <c r="L30" s="29"/>
      <c r="M30" s="62"/>
      <c r="N30" s="14" t="e">
        <f>VLOOKUP(M30,コード!$A$2:$C$345,2,FALSE)</f>
        <v>#N/A</v>
      </c>
      <c r="O30" s="15">
        <f t="shared" si="2"/>
        <v>0</v>
      </c>
      <c r="P30" s="15"/>
    </row>
    <row r="31" spans="1:17" s="9" customFormat="1" ht="19.5" customHeight="1">
      <c r="A31" s="26"/>
      <c r="B31" s="27"/>
      <c r="C31" s="30"/>
      <c r="D31" s="28">
        <f t="shared" si="0"/>
        <v>0</v>
      </c>
      <c r="E31" s="29"/>
      <c r="F31" s="29"/>
      <c r="G31" s="29"/>
      <c r="H31" s="29"/>
      <c r="I31" s="4"/>
      <c r="J31" s="29"/>
      <c r="K31" s="13" t="str">
        <f t="shared" si="8"/>
        <v/>
      </c>
      <c r="L31" s="29"/>
      <c r="M31" s="62"/>
      <c r="N31" s="14" t="e">
        <f>VLOOKUP(M31,コード!$A$2:$C$345,2,FALSE)</f>
        <v>#N/A</v>
      </c>
      <c r="O31" s="15">
        <f t="shared" si="2"/>
        <v>0</v>
      </c>
      <c r="P31" s="15"/>
    </row>
    <row r="32" spans="1:17" s="9" customFormat="1" ht="19.5" customHeight="1">
      <c r="A32" s="26"/>
      <c r="B32" s="27"/>
      <c r="C32" s="30"/>
      <c r="D32" s="28">
        <f t="shared" si="0"/>
        <v>0</v>
      </c>
      <c r="E32" s="29"/>
      <c r="F32" s="29"/>
      <c r="G32" s="29"/>
      <c r="H32" s="29"/>
      <c r="I32" s="4"/>
      <c r="J32" s="29"/>
      <c r="K32" s="13" t="str">
        <f t="shared" si="8"/>
        <v/>
      </c>
      <c r="L32" s="29"/>
      <c r="M32" s="62"/>
      <c r="N32" s="14" t="e">
        <f>VLOOKUP(M32,コード!$A$2:$C$345,2,FALSE)</f>
        <v>#N/A</v>
      </c>
      <c r="O32" s="15">
        <f t="shared" si="2"/>
        <v>0</v>
      </c>
      <c r="P32" s="15"/>
    </row>
    <row r="33" spans="1:16" s="9" customFormat="1" ht="19.5" customHeight="1">
      <c r="A33" s="26"/>
      <c r="B33" s="27"/>
      <c r="C33" s="30"/>
      <c r="D33" s="28">
        <f t="shared" si="0"/>
        <v>0</v>
      </c>
      <c r="E33" s="29"/>
      <c r="F33" s="29"/>
      <c r="G33" s="29"/>
      <c r="H33" s="29"/>
      <c r="I33" s="4"/>
      <c r="J33" s="29"/>
      <c r="K33" s="13" t="str">
        <f t="shared" si="8"/>
        <v/>
      </c>
      <c r="L33" s="29"/>
      <c r="M33" s="62"/>
      <c r="N33" s="14" t="e">
        <f>VLOOKUP(M33,コード!$A$2:$C$345,2,FALSE)</f>
        <v>#N/A</v>
      </c>
      <c r="O33" s="15">
        <f t="shared" si="2"/>
        <v>0</v>
      </c>
      <c r="P33" s="15"/>
    </row>
    <row r="34" spans="1:16" ht="19.5" customHeight="1">
      <c r="A34" s="26"/>
      <c r="B34" s="27"/>
      <c r="C34" s="30"/>
      <c r="D34" s="28">
        <f t="shared" si="0"/>
        <v>0</v>
      </c>
      <c r="E34" s="29"/>
      <c r="F34" s="29"/>
      <c r="G34" s="29"/>
      <c r="H34" s="29"/>
      <c r="I34" s="4"/>
      <c r="J34" s="29"/>
      <c r="K34" s="13" t="str">
        <f t="shared" si="8"/>
        <v/>
      </c>
      <c r="L34" s="29"/>
      <c r="M34" s="62"/>
      <c r="N34" s="14" t="e">
        <f>VLOOKUP(M34,コード!$A$2:$C$345,2,FALSE)</f>
        <v>#N/A</v>
      </c>
      <c r="O34" s="15">
        <f t="shared" si="2"/>
        <v>0</v>
      </c>
      <c r="P34" s="15"/>
    </row>
    <row r="35" spans="1:16" ht="19.5" customHeight="1">
      <c r="A35" s="26"/>
      <c r="B35" s="27"/>
      <c r="C35" s="30"/>
      <c r="D35" s="28">
        <f t="shared" si="0"/>
        <v>0</v>
      </c>
      <c r="E35" s="29"/>
      <c r="F35" s="29"/>
      <c r="G35" s="29"/>
      <c r="H35" s="29"/>
      <c r="I35" s="4"/>
      <c r="J35" s="29"/>
      <c r="K35" s="13" t="str">
        <f t="shared" si="8"/>
        <v/>
      </c>
      <c r="L35" s="29"/>
      <c r="M35" s="62"/>
      <c r="N35" s="14" t="e">
        <f>VLOOKUP(M35,コード!$A$2:$C$345,2,FALSE)</f>
        <v>#N/A</v>
      </c>
      <c r="O35" s="15">
        <f t="shared" si="2"/>
        <v>0</v>
      </c>
      <c r="P35" s="15"/>
    </row>
    <row r="36" spans="1:16" s="9" customFormat="1" ht="19.5" customHeight="1">
      <c r="A36" s="26"/>
      <c r="B36" s="27"/>
      <c r="C36" s="30"/>
      <c r="D36" s="28">
        <f>ROUNDUP((B36+C36)/8,3)</f>
        <v>0</v>
      </c>
      <c r="E36" s="29"/>
      <c r="F36" s="29"/>
      <c r="G36" s="29"/>
      <c r="H36" s="29"/>
      <c r="I36" s="4"/>
      <c r="J36" s="29"/>
      <c r="K36" s="13" t="str">
        <f t="shared" si="8"/>
        <v/>
      </c>
      <c r="L36" s="29"/>
      <c r="M36" s="62"/>
      <c r="N36" s="14" t="e">
        <f>VLOOKUP(M36,コード!$A$2:$C$345,2,FALSE)</f>
        <v>#N/A</v>
      </c>
      <c r="O36" s="15">
        <f t="shared" si="2"/>
        <v>0</v>
      </c>
      <c r="P36" s="15"/>
    </row>
    <row r="37" spans="1:16" ht="19.5" customHeight="1">
      <c r="A37" s="26"/>
      <c r="B37" s="27"/>
      <c r="C37" s="30"/>
      <c r="D37" s="28">
        <f t="shared" si="0"/>
        <v>0</v>
      </c>
      <c r="E37" s="29"/>
      <c r="F37" s="29"/>
      <c r="G37" s="29"/>
      <c r="H37" s="29"/>
      <c r="I37" s="4"/>
      <c r="J37" s="29"/>
      <c r="K37" s="13" t="str">
        <f t="shared" si="8"/>
        <v/>
      </c>
      <c r="L37" s="29"/>
      <c r="M37" s="62"/>
      <c r="N37" s="14" t="e">
        <f>VLOOKUP(M37,コード!$A$2:$C$345,2,FALSE)</f>
        <v>#N/A</v>
      </c>
      <c r="O37" s="15">
        <f t="shared" si="2"/>
        <v>0</v>
      </c>
      <c r="P37" s="15"/>
    </row>
    <row r="38" spans="1:16" ht="19.5" customHeight="1">
      <c r="A38" s="26"/>
      <c r="B38" s="27"/>
      <c r="C38" s="30"/>
      <c r="D38" s="28">
        <f t="shared" si="0"/>
        <v>0</v>
      </c>
      <c r="E38" s="29"/>
      <c r="F38" s="29"/>
      <c r="G38" s="29"/>
      <c r="H38" s="29"/>
      <c r="I38" s="4"/>
      <c r="J38" s="29"/>
      <c r="K38" s="13" t="str">
        <f t="shared" si="8"/>
        <v/>
      </c>
      <c r="L38" s="29"/>
      <c r="M38" s="62"/>
      <c r="N38" s="14" t="e">
        <f>VLOOKUP(M38,コード!$A$2:$C$345,2,FALSE)</f>
        <v>#N/A</v>
      </c>
      <c r="O38" s="15">
        <f t="shared" si="2"/>
        <v>0</v>
      </c>
      <c r="P38" s="15"/>
    </row>
    <row r="39" spans="1:16" ht="19.5" customHeight="1">
      <c r="A39" s="26"/>
      <c r="B39" s="27"/>
      <c r="C39" s="30"/>
      <c r="D39" s="28">
        <f t="shared" si="0"/>
        <v>0</v>
      </c>
      <c r="E39" s="29"/>
      <c r="F39" s="29"/>
      <c r="G39" s="29"/>
      <c r="H39" s="29"/>
      <c r="I39" s="4"/>
      <c r="J39" s="29"/>
      <c r="K39" s="13" t="str">
        <f t="shared" si="8"/>
        <v/>
      </c>
      <c r="L39" s="29"/>
      <c r="M39" s="62"/>
      <c r="N39" s="14" t="e">
        <f>VLOOKUP(M39,コード!$A$2:$C$345,2,FALSE)</f>
        <v>#N/A</v>
      </c>
      <c r="O39" s="15">
        <f t="shared" si="2"/>
        <v>0</v>
      </c>
      <c r="P39" s="15"/>
    </row>
    <row r="40" spans="1:16" ht="19.5" customHeight="1">
      <c r="A40" s="26"/>
      <c r="B40" s="27"/>
      <c r="C40" s="30"/>
      <c r="D40" s="28">
        <f t="shared" si="0"/>
        <v>0</v>
      </c>
      <c r="E40" s="29"/>
      <c r="F40" s="29"/>
      <c r="G40" s="29"/>
      <c r="H40" s="29"/>
      <c r="I40" s="4"/>
      <c r="J40" s="29"/>
      <c r="K40" s="13" t="str">
        <f t="shared" si="8"/>
        <v/>
      </c>
      <c r="L40" s="29"/>
      <c r="M40" s="62"/>
      <c r="N40" s="14" t="e">
        <f>VLOOKUP(M40,コード!$A$2:$C$345,2,FALSE)</f>
        <v>#N/A</v>
      </c>
      <c r="O40" s="15">
        <f t="shared" si="2"/>
        <v>0</v>
      </c>
      <c r="P40" s="15"/>
    </row>
    <row r="41" spans="1:16" ht="19.5" customHeight="1">
      <c r="A41" s="26"/>
      <c r="B41" s="27"/>
      <c r="C41" s="30"/>
      <c r="D41" s="28">
        <f t="shared" si="0"/>
        <v>0</v>
      </c>
      <c r="E41" s="29"/>
      <c r="F41" s="29"/>
      <c r="G41" s="29"/>
      <c r="H41" s="29"/>
      <c r="I41" s="4"/>
      <c r="J41" s="29"/>
      <c r="K41" s="13" t="str">
        <f t="shared" si="8"/>
        <v/>
      </c>
      <c r="L41" s="29"/>
      <c r="M41" s="62"/>
      <c r="N41" s="14" t="e">
        <f>VLOOKUP(M41,コード!$A$2:$C$345,2,FALSE)</f>
        <v>#N/A</v>
      </c>
      <c r="O41" s="15">
        <f t="shared" si="2"/>
        <v>0</v>
      </c>
      <c r="P41" s="15"/>
    </row>
    <row r="42" spans="1:16" ht="19.5" customHeight="1">
      <c r="A42" s="26"/>
      <c r="B42" s="27"/>
      <c r="C42" s="30"/>
      <c r="D42" s="28">
        <f t="shared" si="0"/>
        <v>0</v>
      </c>
      <c r="E42" s="29"/>
      <c r="F42" s="29"/>
      <c r="G42" s="29"/>
      <c r="H42" s="29"/>
      <c r="I42" s="4"/>
      <c r="J42" s="29"/>
      <c r="K42" s="13" t="str">
        <f t="shared" si="8"/>
        <v/>
      </c>
      <c r="L42" s="29"/>
      <c r="M42" s="62"/>
      <c r="N42" s="14" t="e">
        <f>VLOOKUP(M42,コード!$A$2:$C$345,2,FALSE)</f>
        <v>#N/A</v>
      </c>
      <c r="O42" s="15">
        <f t="shared" si="2"/>
        <v>0</v>
      </c>
      <c r="P42" s="15"/>
    </row>
    <row r="43" spans="1:16" ht="19.5" customHeight="1">
      <c r="A43" s="26"/>
      <c r="B43" s="27"/>
      <c r="C43" s="30"/>
      <c r="D43" s="28">
        <f t="shared" si="0"/>
        <v>0</v>
      </c>
      <c r="E43" s="29"/>
      <c r="F43" s="29"/>
      <c r="G43" s="29"/>
      <c r="H43" s="29"/>
      <c r="I43" s="4"/>
      <c r="J43" s="29"/>
      <c r="K43" s="13" t="str">
        <f t="shared" ref="K43:K44" si="9">F43&amp;G43</f>
        <v/>
      </c>
      <c r="L43" s="29"/>
      <c r="M43" s="62"/>
      <c r="N43" s="14" t="e">
        <f>VLOOKUP(M43,コード!$A$2:$C$345,2,FALSE)</f>
        <v>#N/A</v>
      </c>
      <c r="O43" s="15">
        <f t="shared" si="2"/>
        <v>0</v>
      </c>
      <c r="P43" s="15"/>
    </row>
    <row r="44" spans="1:16" ht="19.5" customHeight="1">
      <c r="A44" s="26"/>
      <c r="B44" s="27"/>
      <c r="C44" s="30"/>
      <c r="D44" s="28">
        <f t="shared" si="0"/>
        <v>0</v>
      </c>
      <c r="E44" s="29"/>
      <c r="F44" s="29"/>
      <c r="G44" s="29"/>
      <c r="H44" s="29"/>
      <c r="I44" s="4"/>
      <c r="J44" s="29"/>
      <c r="K44" s="13" t="str">
        <f t="shared" si="9"/>
        <v/>
      </c>
      <c r="L44" s="29"/>
      <c r="M44" s="62"/>
      <c r="N44" s="14" t="e">
        <f>VLOOKUP(M44,コード!$A$2:$C$345,2,FALSE)</f>
        <v>#N/A</v>
      </c>
      <c r="O44" s="15">
        <f t="shared" si="2"/>
        <v>0</v>
      </c>
      <c r="P44" s="15"/>
    </row>
    <row r="45" spans="1:16" ht="19.5" customHeight="1">
      <c r="A45" s="26"/>
      <c r="B45" s="27"/>
      <c r="C45" s="30"/>
      <c r="D45" s="28">
        <f>ROUNDUP((B45+C45)/8,3)</f>
        <v>0</v>
      </c>
      <c r="E45" s="29"/>
      <c r="F45" s="29"/>
      <c r="G45" s="29"/>
      <c r="H45" s="29"/>
      <c r="I45" s="4"/>
      <c r="J45" s="29"/>
      <c r="K45" s="13" t="str">
        <f t="shared" ref="K45:K52" si="10">F45&amp;G45</f>
        <v/>
      </c>
      <c r="L45" s="29"/>
      <c r="M45" s="62"/>
      <c r="N45" s="14" t="e">
        <f>VLOOKUP(M45,コード!$A$2:$C$345,2,FALSE)</f>
        <v>#N/A</v>
      </c>
      <c r="O45" s="15">
        <f>I45</f>
        <v>0</v>
      </c>
      <c r="P45" s="15"/>
    </row>
    <row r="46" spans="1:16" ht="19.5" customHeight="1">
      <c r="A46" s="26"/>
      <c r="B46" s="27"/>
      <c r="C46" s="30"/>
      <c r="D46" s="28">
        <f t="shared" si="0"/>
        <v>0</v>
      </c>
      <c r="E46" s="29"/>
      <c r="F46" s="29"/>
      <c r="G46" s="29"/>
      <c r="H46" s="29"/>
      <c r="I46" s="4"/>
      <c r="J46" s="29"/>
      <c r="K46" s="13" t="str">
        <f t="shared" si="10"/>
        <v/>
      </c>
      <c r="L46" s="29"/>
      <c r="M46" s="62"/>
      <c r="N46" s="14" t="e">
        <f>VLOOKUP(M46,コード!$A$2:$C$345,2,FALSE)</f>
        <v>#N/A</v>
      </c>
      <c r="O46" s="15">
        <f t="shared" si="2"/>
        <v>0</v>
      </c>
      <c r="P46" s="15"/>
    </row>
    <row r="47" spans="1:16" ht="19.5" customHeight="1">
      <c r="A47" s="26"/>
      <c r="B47" s="27"/>
      <c r="C47" s="30"/>
      <c r="D47" s="28">
        <f t="shared" si="0"/>
        <v>0</v>
      </c>
      <c r="E47" s="29"/>
      <c r="F47" s="29"/>
      <c r="G47" s="29"/>
      <c r="H47" s="29"/>
      <c r="I47" s="4"/>
      <c r="J47" s="29"/>
      <c r="K47" s="13" t="str">
        <f t="shared" si="10"/>
        <v/>
      </c>
      <c r="L47" s="29"/>
      <c r="M47" s="62"/>
      <c r="N47" s="14" t="e">
        <f>VLOOKUP(M47,コード!$A$2:$C$345,2,FALSE)</f>
        <v>#N/A</v>
      </c>
      <c r="O47" s="15">
        <f t="shared" si="2"/>
        <v>0</v>
      </c>
      <c r="P47" s="15"/>
    </row>
    <row r="48" spans="1:16" ht="19.5" customHeight="1">
      <c r="A48" s="26"/>
      <c r="B48" s="27"/>
      <c r="C48" s="30"/>
      <c r="D48" s="28">
        <f t="shared" si="0"/>
        <v>0</v>
      </c>
      <c r="E48" s="29"/>
      <c r="F48" s="29"/>
      <c r="G48" s="29"/>
      <c r="H48" s="29"/>
      <c r="I48" s="4"/>
      <c r="J48" s="29"/>
      <c r="K48" s="13" t="str">
        <f t="shared" si="10"/>
        <v/>
      </c>
      <c r="L48" s="29"/>
      <c r="M48" s="62"/>
      <c r="N48" s="14" t="e">
        <f>VLOOKUP(M48,コード!$A$2:$C$345,2,FALSE)</f>
        <v>#N/A</v>
      </c>
      <c r="O48" s="15">
        <f t="shared" si="2"/>
        <v>0</v>
      </c>
      <c r="P48" s="15"/>
    </row>
    <row r="49" spans="1:16" ht="19.5" customHeight="1">
      <c r="A49" s="26"/>
      <c r="B49" s="27"/>
      <c r="C49" s="30"/>
      <c r="D49" s="28">
        <f t="shared" si="0"/>
        <v>0</v>
      </c>
      <c r="E49" s="29"/>
      <c r="F49" s="29"/>
      <c r="G49" s="29"/>
      <c r="H49" s="29"/>
      <c r="I49" s="4"/>
      <c r="J49" s="29"/>
      <c r="K49" s="13" t="str">
        <f t="shared" si="10"/>
        <v/>
      </c>
      <c r="L49" s="29"/>
      <c r="M49" s="62"/>
      <c r="N49" s="14" t="e">
        <f>VLOOKUP(M49,コード!$A$2:$C$345,2,FALSE)</f>
        <v>#N/A</v>
      </c>
      <c r="O49" s="15">
        <f t="shared" si="2"/>
        <v>0</v>
      </c>
      <c r="P49" s="15"/>
    </row>
    <row r="50" spans="1:16" ht="19.5" customHeight="1">
      <c r="A50" s="26"/>
      <c r="B50" s="27"/>
      <c r="C50" s="30"/>
      <c r="D50" s="28">
        <f t="shared" si="0"/>
        <v>0</v>
      </c>
      <c r="E50" s="29"/>
      <c r="F50" s="29"/>
      <c r="G50" s="29"/>
      <c r="H50" s="29"/>
      <c r="I50" s="4"/>
      <c r="J50" s="29"/>
      <c r="K50" s="13" t="str">
        <f t="shared" si="10"/>
        <v/>
      </c>
      <c r="L50" s="29"/>
      <c r="M50" s="62"/>
      <c r="N50" s="14" t="e">
        <f>VLOOKUP(M50,コード!$A$2:$C$345,2,FALSE)</f>
        <v>#N/A</v>
      </c>
      <c r="O50" s="15">
        <f t="shared" si="2"/>
        <v>0</v>
      </c>
      <c r="P50" s="15"/>
    </row>
    <row r="51" spans="1:16" ht="19.5" customHeight="1">
      <c r="A51" s="26"/>
      <c r="B51" s="27"/>
      <c r="C51" s="30"/>
      <c r="D51" s="28">
        <f t="shared" si="0"/>
        <v>0</v>
      </c>
      <c r="E51" s="29"/>
      <c r="F51" s="29"/>
      <c r="G51" s="29"/>
      <c r="H51" s="29"/>
      <c r="I51" s="4"/>
      <c r="J51" s="29"/>
      <c r="K51" s="13" t="str">
        <f t="shared" si="10"/>
        <v/>
      </c>
      <c r="L51" s="29"/>
      <c r="M51" s="62"/>
      <c r="N51" s="14" t="e">
        <f>VLOOKUP(M51,コード!$A$2:$C$345,2,FALSE)</f>
        <v>#N/A</v>
      </c>
      <c r="O51" s="15">
        <f t="shared" si="2"/>
        <v>0</v>
      </c>
      <c r="P51" s="15"/>
    </row>
    <row r="52" spans="1:16" ht="19.5" customHeight="1">
      <c r="A52" s="26"/>
      <c r="B52" s="27"/>
      <c r="C52" s="30"/>
      <c r="D52" s="28">
        <f t="shared" si="0"/>
        <v>0</v>
      </c>
      <c r="E52" s="29"/>
      <c r="F52" s="29"/>
      <c r="G52" s="29"/>
      <c r="H52" s="29"/>
      <c r="I52" s="4"/>
      <c r="J52" s="29"/>
      <c r="K52" s="13" t="str">
        <f t="shared" si="10"/>
        <v/>
      </c>
      <c r="L52" s="29"/>
      <c r="M52" s="62"/>
      <c r="N52" s="14" t="e">
        <f>VLOOKUP(M52,コード!$A$2:$C$345,2,FALSE)</f>
        <v>#N/A</v>
      </c>
      <c r="O52" s="15">
        <f t="shared" si="2"/>
        <v>0</v>
      </c>
      <c r="P52" s="15"/>
    </row>
    <row r="53" spans="1:16" ht="19.5" customHeight="1">
      <c r="A53" s="26"/>
      <c r="B53" s="27"/>
      <c r="C53" s="30"/>
      <c r="D53" s="28">
        <f t="shared" si="0"/>
        <v>0</v>
      </c>
      <c r="E53" s="29"/>
      <c r="F53" s="29"/>
      <c r="G53" s="29"/>
      <c r="H53" s="29"/>
      <c r="I53" s="4"/>
      <c r="J53" s="29"/>
      <c r="K53" s="13" t="str">
        <f t="shared" ref="K53:K61" si="11">F53&amp;G53</f>
        <v/>
      </c>
      <c r="L53" s="29"/>
      <c r="M53" s="62"/>
      <c r="N53" s="14" t="e">
        <f>VLOOKUP(M53,コード!$A$2:$C$345,2,FALSE)</f>
        <v>#N/A</v>
      </c>
      <c r="O53" s="15">
        <f t="shared" si="2"/>
        <v>0</v>
      </c>
      <c r="P53" s="15"/>
    </row>
    <row r="54" spans="1:16" ht="19.5" customHeight="1">
      <c r="A54" s="26"/>
      <c r="B54" s="27"/>
      <c r="C54" s="30"/>
      <c r="D54" s="28">
        <f t="shared" si="0"/>
        <v>0</v>
      </c>
      <c r="E54" s="29"/>
      <c r="F54" s="29"/>
      <c r="G54" s="29"/>
      <c r="H54" s="29"/>
      <c r="I54" s="4"/>
      <c r="J54" s="29"/>
      <c r="K54" s="13" t="str">
        <f t="shared" si="11"/>
        <v/>
      </c>
      <c r="L54" s="29"/>
      <c r="M54" s="62"/>
      <c r="N54" s="14" t="e">
        <f>VLOOKUP(M54,コード!$A$2:$C$345,2,FALSE)</f>
        <v>#N/A</v>
      </c>
      <c r="O54" s="15">
        <f t="shared" si="2"/>
        <v>0</v>
      </c>
      <c r="P54" s="15"/>
    </row>
    <row r="55" spans="1:16" ht="19.5" customHeight="1">
      <c r="A55" s="26"/>
      <c r="B55" s="27"/>
      <c r="C55" s="30"/>
      <c r="D55" s="28">
        <f t="shared" si="0"/>
        <v>0</v>
      </c>
      <c r="E55" s="29"/>
      <c r="F55" s="29"/>
      <c r="G55" s="29"/>
      <c r="H55" s="29"/>
      <c r="I55" s="4"/>
      <c r="J55" s="29"/>
      <c r="K55" s="13" t="str">
        <f t="shared" si="11"/>
        <v/>
      </c>
      <c r="L55" s="29"/>
      <c r="M55" s="62"/>
      <c r="N55" s="14" t="e">
        <f>VLOOKUP(M55,コード!$A$2:$C$345,2,FALSE)</f>
        <v>#N/A</v>
      </c>
      <c r="O55" s="15">
        <f t="shared" si="2"/>
        <v>0</v>
      </c>
      <c r="P55" s="15"/>
    </row>
    <row r="56" spans="1:16" ht="19.5" customHeight="1">
      <c r="A56" s="26"/>
      <c r="B56" s="27"/>
      <c r="C56" s="30"/>
      <c r="D56" s="28">
        <f t="shared" si="0"/>
        <v>0</v>
      </c>
      <c r="E56" s="29"/>
      <c r="F56" s="29"/>
      <c r="G56" s="29"/>
      <c r="H56" s="29"/>
      <c r="I56" s="4"/>
      <c r="J56" s="29"/>
      <c r="K56" s="13" t="str">
        <f t="shared" si="11"/>
        <v/>
      </c>
      <c r="L56" s="29"/>
      <c r="M56" s="62"/>
      <c r="N56" s="14" t="e">
        <f>VLOOKUP(M56,コード!$A$2:$C$345,2,FALSE)</f>
        <v>#N/A</v>
      </c>
      <c r="O56" s="15">
        <f t="shared" ref="O56:O109" si="12">I56</f>
        <v>0</v>
      </c>
      <c r="P56" s="15"/>
    </row>
    <row r="57" spans="1:16" ht="19.5" customHeight="1">
      <c r="A57" s="26"/>
      <c r="B57" s="27"/>
      <c r="C57" s="30"/>
      <c r="D57" s="28">
        <f t="shared" si="0"/>
        <v>0</v>
      </c>
      <c r="E57" s="29"/>
      <c r="F57" s="29"/>
      <c r="G57" s="29"/>
      <c r="H57" s="29"/>
      <c r="I57" s="4"/>
      <c r="J57" s="29"/>
      <c r="K57" s="13" t="str">
        <f t="shared" si="11"/>
        <v/>
      </c>
      <c r="L57" s="29"/>
      <c r="M57" s="62"/>
      <c r="N57" s="14" t="e">
        <f>VLOOKUP(M57,コード!$A$2:$C$345,2,FALSE)</f>
        <v>#N/A</v>
      </c>
      <c r="O57" s="15">
        <f t="shared" si="12"/>
        <v>0</v>
      </c>
      <c r="P57" s="15"/>
    </row>
    <row r="58" spans="1:16" ht="19.5" customHeight="1">
      <c r="A58" s="26"/>
      <c r="B58" s="27"/>
      <c r="C58" s="30"/>
      <c r="D58" s="28">
        <f t="shared" ref="D58:D109" si="13">ROUNDUP((B58+C58)/8,3)</f>
        <v>0</v>
      </c>
      <c r="E58" s="29"/>
      <c r="F58" s="29"/>
      <c r="G58" s="29"/>
      <c r="H58" s="29"/>
      <c r="I58" s="4"/>
      <c r="J58" s="29"/>
      <c r="K58" s="13" t="str">
        <f t="shared" si="11"/>
        <v/>
      </c>
      <c r="L58" s="29"/>
      <c r="M58" s="62"/>
      <c r="N58" s="14" t="e">
        <f>VLOOKUP(M58,コード!$A$2:$C$345,2,FALSE)</f>
        <v>#N/A</v>
      </c>
      <c r="O58" s="15">
        <f t="shared" si="12"/>
        <v>0</v>
      </c>
      <c r="P58" s="15"/>
    </row>
    <row r="59" spans="1:16" ht="19.5" customHeight="1">
      <c r="A59" s="26"/>
      <c r="B59" s="27"/>
      <c r="C59" s="30"/>
      <c r="D59" s="28">
        <f t="shared" si="13"/>
        <v>0</v>
      </c>
      <c r="E59" s="29"/>
      <c r="F59" s="29"/>
      <c r="G59" s="29"/>
      <c r="H59" s="29"/>
      <c r="I59" s="4"/>
      <c r="J59" s="29"/>
      <c r="K59" s="13" t="str">
        <f t="shared" si="11"/>
        <v/>
      </c>
      <c r="L59" s="29"/>
      <c r="M59" s="62"/>
      <c r="N59" s="14" t="e">
        <f>VLOOKUP(M59,コード!$A$2:$C$345,2,FALSE)</f>
        <v>#N/A</v>
      </c>
      <c r="O59" s="15">
        <f t="shared" si="12"/>
        <v>0</v>
      </c>
      <c r="P59" s="15"/>
    </row>
    <row r="60" spans="1:16" ht="19.5" customHeight="1">
      <c r="A60" s="26"/>
      <c r="B60" s="27"/>
      <c r="C60" s="30"/>
      <c r="D60" s="28">
        <f>ROUNDUP((B60+C60)/8,3)</f>
        <v>0</v>
      </c>
      <c r="E60" s="29"/>
      <c r="F60" s="29"/>
      <c r="G60" s="29"/>
      <c r="H60" s="29"/>
      <c r="I60" s="4"/>
      <c r="J60" s="29"/>
      <c r="K60" s="13" t="str">
        <f t="shared" si="11"/>
        <v/>
      </c>
      <c r="L60" s="29"/>
      <c r="M60" s="62"/>
      <c r="N60" s="14" t="e">
        <f>VLOOKUP(M60,コード!$A$2:$C$345,2,FALSE)</f>
        <v>#N/A</v>
      </c>
      <c r="O60" s="15">
        <f t="shared" si="12"/>
        <v>0</v>
      </c>
      <c r="P60" s="15"/>
    </row>
    <row r="61" spans="1:16" ht="19.5" customHeight="1">
      <c r="A61" s="26"/>
      <c r="B61" s="27"/>
      <c r="C61" s="30"/>
      <c r="D61" s="28">
        <f t="shared" si="13"/>
        <v>0</v>
      </c>
      <c r="E61" s="29"/>
      <c r="F61" s="29"/>
      <c r="G61" s="29"/>
      <c r="H61" s="29"/>
      <c r="I61" s="4"/>
      <c r="J61" s="29"/>
      <c r="K61" s="13" t="str">
        <f t="shared" si="11"/>
        <v/>
      </c>
      <c r="L61" s="29"/>
      <c r="M61" s="62"/>
      <c r="N61" s="14" t="e">
        <f>VLOOKUP(M61,コード!$A$2:$C$345,2,FALSE)</f>
        <v>#N/A</v>
      </c>
      <c r="O61" s="15">
        <f t="shared" si="12"/>
        <v>0</v>
      </c>
      <c r="P61" s="15"/>
    </row>
    <row r="62" spans="1:16" ht="19.5" customHeight="1">
      <c r="A62" s="26"/>
      <c r="B62" s="27"/>
      <c r="C62" s="30"/>
      <c r="D62" s="28">
        <f t="shared" si="13"/>
        <v>0</v>
      </c>
      <c r="E62" s="29"/>
      <c r="F62" s="29"/>
      <c r="G62" s="29"/>
      <c r="H62" s="29"/>
      <c r="I62" s="4"/>
      <c r="J62" s="29"/>
      <c r="K62" s="13" t="str">
        <f t="shared" ref="K62:K92" si="14">F62&amp;G62</f>
        <v/>
      </c>
      <c r="L62" s="29"/>
      <c r="M62" s="62"/>
      <c r="N62" s="14" t="e">
        <f>VLOOKUP(M62,コード!$A$2:$C$345,2,FALSE)</f>
        <v>#N/A</v>
      </c>
      <c r="O62" s="15">
        <f t="shared" si="12"/>
        <v>0</v>
      </c>
      <c r="P62" s="15"/>
    </row>
    <row r="63" spans="1:16" ht="19.5" customHeight="1">
      <c r="A63" s="26"/>
      <c r="B63" s="27"/>
      <c r="C63" s="30"/>
      <c r="D63" s="28">
        <f t="shared" si="13"/>
        <v>0</v>
      </c>
      <c r="E63" s="29"/>
      <c r="F63" s="29"/>
      <c r="G63" s="29"/>
      <c r="H63" s="29"/>
      <c r="I63" s="4"/>
      <c r="J63" s="29"/>
      <c r="K63" s="13" t="str">
        <f t="shared" si="14"/>
        <v/>
      </c>
      <c r="L63" s="29"/>
      <c r="M63" s="62"/>
      <c r="N63" s="14" t="e">
        <f>VLOOKUP(M63,コード!$A$2:$C$345,2,FALSE)</f>
        <v>#N/A</v>
      </c>
      <c r="O63" s="15">
        <f t="shared" si="12"/>
        <v>0</v>
      </c>
      <c r="P63" s="15"/>
    </row>
    <row r="64" spans="1:16" ht="19.5" customHeight="1">
      <c r="A64" s="26"/>
      <c r="B64" s="27"/>
      <c r="C64" s="30"/>
      <c r="D64" s="28">
        <f t="shared" si="13"/>
        <v>0</v>
      </c>
      <c r="E64" s="29"/>
      <c r="F64" s="29"/>
      <c r="G64" s="29"/>
      <c r="H64" s="29"/>
      <c r="I64" s="4"/>
      <c r="J64" s="29"/>
      <c r="K64" s="13" t="str">
        <f t="shared" si="14"/>
        <v/>
      </c>
      <c r="L64" s="29"/>
      <c r="M64" s="62"/>
      <c r="N64" s="14" t="e">
        <f>VLOOKUP(M64,コード!$A$2:$C$345,2,FALSE)</f>
        <v>#N/A</v>
      </c>
      <c r="O64" s="15">
        <f t="shared" si="12"/>
        <v>0</v>
      </c>
      <c r="P64" s="15"/>
    </row>
    <row r="65" spans="1:16" ht="19.5" customHeight="1">
      <c r="A65" s="26"/>
      <c r="B65" s="27"/>
      <c r="C65" s="30"/>
      <c r="D65" s="28">
        <f t="shared" si="13"/>
        <v>0</v>
      </c>
      <c r="E65" s="29"/>
      <c r="F65" s="29"/>
      <c r="G65" s="29"/>
      <c r="H65" s="29"/>
      <c r="I65" s="4"/>
      <c r="J65" s="29"/>
      <c r="K65" s="13" t="str">
        <f t="shared" si="14"/>
        <v/>
      </c>
      <c r="L65" s="29"/>
      <c r="M65" s="62"/>
      <c r="N65" s="14" t="e">
        <f>VLOOKUP(M65,コード!$A$2:$C$345,2,FALSE)</f>
        <v>#N/A</v>
      </c>
      <c r="O65" s="15">
        <f t="shared" si="12"/>
        <v>0</v>
      </c>
      <c r="P65" s="15"/>
    </row>
    <row r="66" spans="1:16" ht="19.5" customHeight="1">
      <c r="A66" s="26"/>
      <c r="B66" s="27"/>
      <c r="C66" s="30"/>
      <c r="D66" s="28">
        <f t="shared" si="13"/>
        <v>0</v>
      </c>
      <c r="E66" s="29"/>
      <c r="F66" s="29"/>
      <c r="G66" s="29"/>
      <c r="H66" s="29"/>
      <c r="I66" s="4"/>
      <c r="J66" s="29"/>
      <c r="K66" s="13" t="str">
        <f t="shared" si="14"/>
        <v/>
      </c>
      <c r="L66" s="29"/>
      <c r="M66" s="62"/>
      <c r="N66" s="14" t="e">
        <f>VLOOKUP(M66,コード!$A$2:$C$345,2,FALSE)</f>
        <v>#N/A</v>
      </c>
      <c r="O66" s="15">
        <f t="shared" si="12"/>
        <v>0</v>
      </c>
      <c r="P66" s="15"/>
    </row>
    <row r="67" spans="1:16" ht="19.5" customHeight="1">
      <c r="A67" s="26"/>
      <c r="B67" s="27"/>
      <c r="C67" s="30"/>
      <c r="D67" s="28">
        <f t="shared" si="13"/>
        <v>0</v>
      </c>
      <c r="E67" s="29"/>
      <c r="F67" s="29"/>
      <c r="G67" s="29"/>
      <c r="H67" s="29"/>
      <c r="I67" s="4"/>
      <c r="J67" s="29"/>
      <c r="K67" s="13" t="str">
        <f t="shared" si="14"/>
        <v/>
      </c>
      <c r="L67" s="29"/>
      <c r="M67" s="62"/>
      <c r="N67" s="14" t="e">
        <f>VLOOKUP(M67,コード!$A$2:$C$345,2,FALSE)</f>
        <v>#N/A</v>
      </c>
      <c r="O67" s="15">
        <f t="shared" si="12"/>
        <v>0</v>
      </c>
      <c r="P67" s="15"/>
    </row>
    <row r="68" spans="1:16" ht="19.5" customHeight="1">
      <c r="A68" s="26"/>
      <c r="B68" s="27"/>
      <c r="C68" s="30"/>
      <c r="D68" s="28">
        <f t="shared" si="13"/>
        <v>0</v>
      </c>
      <c r="E68" s="29"/>
      <c r="F68" s="29"/>
      <c r="G68" s="29"/>
      <c r="H68" s="29"/>
      <c r="I68" s="4"/>
      <c r="J68" s="29"/>
      <c r="K68" s="13" t="str">
        <f t="shared" si="14"/>
        <v/>
      </c>
      <c r="L68" s="29"/>
      <c r="M68" s="62"/>
      <c r="N68" s="14" t="e">
        <f>VLOOKUP(M68,コード!$A$2:$C$345,2,FALSE)</f>
        <v>#N/A</v>
      </c>
      <c r="O68" s="15">
        <f t="shared" si="12"/>
        <v>0</v>
      </c>
      <c r="P68" s="15"/>
    </row>
    <row r="69" spans="1:16" ht="19.5" customHeight="1">
      <c r="A69" s="26"/>
      <c r="B69" s="27"/>
      <c r="C69" s="30"/>
      <c r="D69" s="28">
        <f t="shared" si="13"/>
        <v>0</v>
      </c>
      <c r="E69" s="29"/>
      <c r="F69" s="29"/>
      <c r="G69" s="29"/>
      <c r="H69" s="29"/>
      <c r="I69" s="4"/>
      <c r="J69" s="29"/>
      <c r="K69" s="13" t="str">
        <f t="shared" si="14"/>
        <v/>
      </c>
      <c r="L69" s="29"/>
      <c r="M69" s="62"/>
      <c r="N69" s="14" t="e">
        <f>VLOOKUP(M69,コード!$A$2:$C$345,2,FALSE)</f>
        <v>#N/A</v>
      </c>
      <c r="O69" s="15">
        <f t="shared" si="12"/>
        <v>0</v>
      </c>
      <c r="P69" s="15"/>
    </row>
    <row r="70" spans="1:16" ht="19.5" customHeight="1">
      <c r="A70" s="26"/>
      <c r="B70" s="27"/>
      <c r="C70" s="30"/>
      <c r="D70" s="28">
        <f t="shared" si="13"/>
        <v>0</v>
      </c>
      <c r="E70" s="29"/>
      <c r="F70" s="29"/>
      <c r="G70" s="29"/>
      <c r="H70" s="29"/>
      <c r="I70" s="4"/>
      <c r="J70" s="29"/>
      <c r="K70" s="13" t="str">
        <f t="shared" si="14"/>
        <v/>
      </c>
      <c r="L70" s="29"/>
      <c r="M70" s="62"/>
      <c r="N70" s="14" t="e">
        <f>VLOOKUP(M70,コード!$A$2:$C$345,2,FALSE)</f>
        <v>#N/A</v>
      </c>
      <c r="O70" s="15">
        <f t="shared" si="12"/>
        <v>0</v>
      </c>
      <c r="P70" s="15"/>
    </row>
    <row r="71" spans="1:16" ht="19.5" customHeight="1">
      <c r="A71" s="26"/>
      <c r="B71" s="27"/>
      <c r="C71" s="30"/>
      <c r="D71" s="28">
        <f t="shared" si="13"/>
        <v>0</v>
      </c>
      <c r="E71" s="29"/>
      <c r="F71" s="29"/>
      <c r="G71" s="29"/>
      <c r="H71" s="29"/>
      <c r="I71" s="4"/>
      <c r="J71" s="29"/>
      <c r="K71" s="13" t="str">
        <f t="shared" si="14"/>
        <v/>
      </c>
      <c r="L71" s="29"/>
      <c r="M71" s="62"/>
      <c r="N71" s="14" t="e">
        <f>VLOOKUP(M71,コード!$A$2:$C$345,2,FALSE)</f>
        <v>#N/A</v>
      </c>
      <c r="O71" s="15">
        <f t="shared" si="12"/>
        <v>0</v>
      </c>
      <c r="P71" s="15"/>
    </row>
    <row r="72" spans="1:16" ht="19.5" customHeight="1">
      <c r="A72" s="26"/>
      <c r="B72" s="27"/>
      <c r="C72" s="30"/>
      <c r="D72" s="31">
        <f t="shared" si="13"/>
        <v>0</v>
      </c>
      <c r="E72" s="29"/>
      <c r="F72" s="29"/>
      <c r="G72" s="29"/>
      <c r="H72" s="29"/>
      <c r="I72" s="4"/>
      <c r="J72" s="29"/>
      <c r="K72" s="13" t="str">
        <f t="shared" ref="K72:K79" si="15">F72&amp;G72</f>
        <v/>
      </c>
      <c r="L72" s="29"/>
      <c r="M72" s="62"/>
      <c r="N72" s="14" t="e">
        <f>VLOOKUP(M72,コード!$A$2:$C$345,2,FALSE)</f>
        <v>#N/A</v>
      </c>
      <c r="O72" s="15">
        <f t="shared" si="12"/>
        <v>0</v>
      </c>
      <c r="P72" s="15"/>
    </row>
    <row r="73" spans="1:16" ht="19.5" customHeight="1">
      <c r="A73" s="26"/>
      <c r="B73" s="27"/>
      <c r="C73" s="30"/>
      <c r="D73" s="28">
        <f t="shared" si="13"/>
        <v>0</v>
      </c>
      <c r="E73" s="29"/>
      <c r="F73" s="29"/>
      <c r="G73" s="29"/>
      <c r="H73" s="29"/>
      <c r="I73" s="4"/>
      <c r="J73" s="29"/>
      <c r="K73" s="13" t="str">
        <f t="shared" si="15"/>
        <v/>
      </c>
      <c r="L73" s="29"/>
      <c r="M73" s="62"/>
      <c r="N73" s="14" t="e">
        <f>VLOOKUP(M73,コード!$A$2:$C$345,2,FALSE)</f>
        <v>#N/A</v>
      </c>
      <c r="O73" s="15">
        <f t="shared" si="12"/>
        <v>0</v>
      </c>
      <c r="P73" s="15"/>
    </row>
    <row r="74" spans="1:16" ht="19.5" customHeight="1">
      <c r="A74" s="26"/>
      <c r="B74" s="27"/>
      <c r="C74" s="30"/>
      <c r="D74" s="31">
        <f t="shared" si="13"/>
        <v>0</v>
      </c>
      <c r="E74" s="29"/>
      <c r="F74" s="29"/>
      <c r="G74" s="29"/>
      <c r="H74" s="29"/>
      <c r="I74" s="4"/>
      <c r="J74" s="29"/>
      <c r="K74" s="13" t="str">
        <f t="shared" si="15"/>
        <v/>
      </c>
      <c r="L74" s="29"/>
      <c r="M74" s="62"/>
      <c r="N74" s="14" t="e">
        <f>VLOOKUP(M74,コード!$A$2:$C$345,2,FALSE)</f>
        <v>#N/A</v>
      </c>
      <c r="O74" s="15">
        <f t="shared" si="12"/>
        <v>0</v>
      </c>
      <c r="P74" s="15"/>
    </row>
    <row r="75" spans="1:16" ht="19.5" customHeight="1">
      <c r="A75" s="26"/>
      <c r="B75" s="27"/>
      <c r="C75" s="30"/>
      <c r="D75" s="31">
        <f>ROUNDUP((B75+C75)/8,3)</f>
        <v>0</v>
      </c>
      <c r="E75" s="29"/>
      <c r="F75" s="29"/>
      <c r="G75" s="29"/>
      <c r="H75" s="29"/>
      <c r="I75" s="4"/>
      <c r="J75" s="29"/>
      <c r="K75" s="13" t="str">
        <f t="shared" si="15"/>
        <v/>
      </c>
      <c r="L75" s="29"/>
      <c r="M75" s="62"/>
      <c r="N75" s="14" t="e">
        <f>VLOOKUP(M75,コード!$A$2:$C$345,2,FALSE)</f>
        <v>#N/A</v>
      </c>
      <c r="O75" s="15">
        <f t="shared" si="12"/>
        <v>0</v>
      </c>
      <c r="P75" s="15"/>
    </row>
    <row r="76" spans="1:16" ht="19.5" customHeight="1">
      <c r="A76" s="26"/>
      <c r="B76" s="27"/>
      <c r="C76" s="30"/>
      <c r="D76" s="28">
        <f t="shared" si="13"/>
        <v>0</v>
      </c>
      <c r="E76" s="29"/>
      <c r="F76" s="29"/>
      <c r="G76" s="29"/>
      <c r="H76" s="29"/>
      <c r="I76" s="4"/>
      <c r="J76" s="29"/>
      <c r="K76" s="13" t="str">
        <f t="shared" si="15"/>
        <v/>
      </c>
      <c r="L76" s="29"/>
      <c r="M76" s="62"/>
      <c r="N76" s="14" t="e">
        <f>VLOOKUP(M76,コード!$A$2:$C$345,2,FALSE)</f>
        <v>#N/A</v>
      </c>
      <c r="O76" s="15">
        <f t="shared" si="12"/>
        <v>0</v>
      </c>
      <c r="P76" s="15"/>
    </row>
    <row r="77" spans="1:16" ht="19.5" customHeight="1">
      <c r="A77" s="26"/>
      <c r="B77" s="27"/>
      <c r="C77" s="30"/>
      <c r="D77" s="28">
        <f t="shared" si="13"/>
        <v>0</v>
      </c>
      <c r="E77" s="29"/>
      <c r="F77" s="29"/>
      <c r="G77" s="29"/>
      <c r="H77" s="29"/>
      <c r="I77" s="4"/>
      <c r="J77" s="29"/>
      <c r="K77" s="13" t="str">
        <f t="shared" si="15"/>
        <v/>
      </c>
      <c r="L77" s="29"/>
      <c r="M77" s="62"/>
      <c r="N77" s="14" t="e">
        <f>VLOOKUP(M77,コード!$A$2:$C$345,2,FALSE)</f>
        <v>#N/A</v>
      </c>
      <c r="O77" s="15">
        <f t="shared" si="12"/>
        <v>0</v>
      </c>
      <c r="P77" s="15"/>
    </row>
    <row r="78" spans="1:16" ht="19.5" customHeight="1">
      <c r="A78" s="26"/>
      <c r="B78" s="27"/>
      <c r="C78" s="30"/>
      <c r="D78" s="31">
        <f t="shared" si="13"/>
        <v>0</v>
      </c>
      <c r="E78" s="29"/>
      <c r="F78" s="29"/>
      <c r="G78" s="29"/>
      <c r="H78" s="29"/>
      <c r="I78" s="4"/>
      <c r="J78" s="29"/>
      <c r="K78" s="13" t="str">
        <f t="shared" si="15"/>
        <v/>
      </c>
      <c r="L78" s="29"/>
      <c r="M78" s="62"/>
      <c r="N78" s="14" t="e">
        <f>VLOOKUP(M78,コード!$A$2:$C$345,2,FALSE)</f>
        <v>#N/A</v>
      </c>
      <c r="O78" s="15">
        <f t="shared" si="12"/>
        <v>0</v>
      </c>
      <c r="P78" s="15"/>
    </row>
    <row r="79" spans="1:16" ht="19.5" customHeight="1">
      <c r="A79" s="26"/>
      <c r="B79" s="27"/>
      <c r="C79" s="30"/>
      <c r="D79" s="31">
        <f t="shared" si="13"/>
        <v>0</v>
      </c>
      <c r="E79" s="29"/>
      <c r="F79" s="29"/>
      <c r="G79" s="29"/>
      <c r="H79" s="29"/>
      <c r="I79" s="4"/>
      <c r="J79" s="29"/>
      <c r="K79" s="13" t="str">
        <f t="shared" si="15"/>
        <v/>
      </c>
      <c r="L79" s="29"/>
      <c r="M79" s="62"/>
      <c r="N79" s="14" t="e">
        <f>VLOOKUP(M79,コード!$A$2:$C$345,2,FALSE)</f>
        <v>#N/A</v>
      </c>
      <c r="O79" s="15">
        <f t="shared" si="12"/>
        <v>0</v>
      </c>
      <c r="P79" s="15"/>
    </row>
    <row r="80" spans="1:16" ht="19.5" customHeight="1">
      <c r="A80" s="26"/>
      <c r="B80" s="27"/>
      <c r="C80" s="30"/>
      <c r="D80" s="31">
        <f t="shared" si="13"/>
        <v>0</v>
      </c>
      <c r="E80" s="29"/>
      <c r="F80" s="29"/>
      <c r="G80" s="29"/>
      <c r="H80" s="29"/>
      <c r="I80" s="4"/>
      <c r="J80" s="29"/>
      <c r="K80" s="13" t="str">
        <f t="shared" ref="K80" si="16">F80&amp;G80</f>
        <v/>
      </c>
      <c r="L80" s="29"/>
      <c r="M80" s="62"/>
      <c r="N80" s="14" t="e">
        <f>VLOOKUP(M80,コード!$A$2:$C$345,2,FALSE)</f>
        <v>#N/A</v>
      </c>
      <c r="O80" s="15">
        <f t="shared" si="12"/>
        <v>0</v>
      </c>
      <c r="P80" s="15"/>
    </row>
    <row r="81" spans="1:16" ht="19.5" customHeight="1">
      <c r="A81" s="26"/>
      <c r="B81" s="27"/>
      <c r="C81" s="30"/>
      <c r="D81" s="31">
        <f t="shared" si="13"/>
        <v>0</v>
      </c>
      <c r="E81" s="29"/>
      <c r="F81" s="29"/>
      <c r="G81" s="29"/>
      <c r="H81" s="29"/>
      <c r="I81" s="4"/>
      <c r="J81" s="29"/>
      <c r="K81" s="13" t="str">
        <f t="shared" ref="K81:K90" si="17">F81&amp;G81</f>
        <v/>
      </c>
      <c r="L81" s="29"/>
      <c r="M81" s="62"/>
      <c r="N81" s="14" t="e">
        <f>VLOOKUP(M81,コード!$A$2:$C$345,2,FALSE)</f>
        <v>#N/A</v>
      </c>
      <c r="O81" s="15">
        <f t="shared" si="12"/>
        <v>0</v>
      </c>
      <c r="P81" s="15"/>
    </row>
    <row r="82" spans="1:16" ht="19.5" customHeight="1">
      <c r="A82" s="26"/>
      <c r="B82" s="27"/>
      <c r="C82" s="30"/>
      <c r="D82" s="31">
        <f t="shared" si="13"/>
        <v>0</v>
      </c>
      <c r="E82" s="29"/>
      <c r="F82" s="29"/>
      <c r="G82" s="29"/>
      <c r="H82" s="29"/>
      <c r="I82" s="4"/>
      <c r="J82" s="29"/>
      <c r="K82" s="13" t="str">
        <f t="shared" si="17"/>
        <v/>
      </c>
      <c r="L82" s="29"/>
      <c r="M82" s="62"/>
      <c r="N82" s="14" t="e">
        <f>VLOOKUP(M82,コード!$A$2:$C$345,2,FALSE)</f>
        <v>#N/A</v>
      </c>
      <c r="O82" s="15">
        <f t="shared" si="12"/>
        <v>0</v>
      </c>
      <c r="P82" s="15"/>
    </row>
    <row r="83" spans="1:16" ht="19.5" customHeight="1">
      <c r="A83" s="26"/>
      <c r="B83" s="27"/>
      <c r="C83" s="30"/>
      <c r="D83" s="31">
        <f t="shared" si="13"/>
        <v>0</v>
      </c>
      <c r="E83" s="29"/>
      <c r="F83" s="29"/>
      <c r="G83" s="29"/>
      <c r="H83" s="29"/>
      <c r="I83" s="4"/>
      <c r="J83" s="29"/>
      <c r="K83" s="13" t="str">
        <f t="shared" si="17"/>
        <v/>
      </c>
      <c r="L83" s="29"/>
      <c r="M83" s="62"/>
      <c r="N83" s="14" t="e">
        <f>VLOOKUP(M83,コード!$A$2:$C$345,2,FALSE)</f>
        <v>#N/A</v>
      </c>
      <c r="O83" s="15">
        <f t="shared" si="12"/>
        <v>0</v>
      </c>
      <c r="P83" s="15"/>
    </row>
    <row r="84" spans="1:16" ht="19.5" customHeight="1">
      <c r="A84" s="26"/>
      <c r="B84" s="27"/>
      <c r="C84" s="30"/>
      <c r="D84" s="31">
        <f t="shared" si="13"/>
        <v>0</v>
      </c>
      <c r="E84" s="29"/>
      <c r="F84" s="29"/>
      <c r="G84" s="29"/>
      <c r="H84" s="29"/>
      <c r="I84" s="4"/>
      <c r="J84" s="29"/>
      <c r="K84" s="13" t="str">
        <f t="shared" si="17"/>
        <v/>
      </c>
      <c r="L84" s="29"/>
      <c r="M84" s="62"/>
      <c r="N84" s="14" t="e">
        <f>VLOOKUP(M84,コード!$A$2:$C$345,2,FALSE)</f>
        <v>#N/A</v>
      </c>
      <c r="O84" s="15">
        <f t="shared" si="12"/>
        <v>0</v>
      </c>
      <c r="P84" s="15"/>
    </row>
    <row r="85" spans="1:16" ht="19.5" customHeight="1">
      <c r="A85" s="26"/>
      <c r="B85" s="27"/>
      <c r="C85" s="30"/>
      <c r="D85" s="31">
        <f t="shared" si="13"/>
        <v>0</v>
      </c>
      <c r="E85" s="29"/>
      <c r="F85" s="29"/>
      <c r="G85" s="29"/>
      <c r="H85" s="29"/>
      <c r="I85" s="4"/>
      <c r="J85" s="29"/>
      <c r="K85" s="13" t="str">
        <f t="shared" si="17"/>
        <v/>
      </c>
      <c r="L85" s="29"/>
      <c r="M85" s="62"/>
      <c r="N85" s="14" t="e">
        <f>VLOOKUP(M85,コード!$A$2:$C$345,2,FALSE)</f>
        <v>#N/A</v>
      </c>
      <c r="O85" s="15">
        <f t="shared" si="12"/>
        <v>0</v>
      </c>
      <c r="P85" s="15"/>
    </row>
    <row r="86" spans="1:16" ht="19.5" customHeight="1">
      <c r="A86" s="26"/>
      <c r="B86" s="27"/>
      <c r="C86" s="30"/>
      <c r="D86" s="31">
        <f t="shared" si="13"/>
        <v>0</v>
      </c>
      <c r="E86" s="29"/>
      <c r="F86" s="29"/>
      <c r="G86" s="29"/>
      <c r="H86" s="29"/>
      <c r="I86" s="4"/>
      <c r="J86" s="29"/>
      <c r="K86" s="13" t="str">
        <f t="shared" si="17"/>
        <v/>
      </c>
      <c r="L86" s="29"/>
      <c r="M86" s="62"/>
      <c r="N86" s="14" t="e">
        <f>VLOOKUP(M86,コード!$A$2:$C$345,2,FALSE)</f>
        <v>#N/A</v>
      </c>
      <c r="O86" s="15">
        <f t="shared" si="12"/>
        <v>0</v>
      </c>
      <c r="P86" s="15"/>
    </row>
    <row r="87" spans="1:16" ht="19.5" customHeight="1">
      <c r="A87" s="26"/>
      <c r="B87" s="27"/>
      <c r="C87" s="30"/>
      <c r="D87" s="31">
        <f t="shared" si="13"/>
        <v>0</v>
      </c>
      <c r="E87" s="29"/>
      <c r="F87" s="29"/>
      <c r="G87" s="29"/>
      <c r="H87" s="29"/>
      <c r="I87" s="4"/>
      <c r="J87" s="29"/>
      <c r="K87" s="13" t="str">
        <f t="shared" si="17"/>
        <v/>
      </c>
      <c r="L87" s="29"/>
      <c r="M87" s="62"/>
      <c r="N87" s="14" t="e">
        <f>VLOOKUP(M87,コード!$A$2:$C$345,2,FALSE)</f>
        <v>#N/A</v>
      </c>
      <c r="O87" s="15">
        <f t="shared" si="12"/>
        <v>0</v>
      </c>
      <c r="P87" s="15"/>
    </row>
    <row r="88" spans="1:16" ht="19.5" customHeight="1">
      <c r="A88" s="26"/>
      <c r="B88" s="27"/>
      <c r="C88" s="30"/>
      <c r="D88" s="31">
        <f t="shared" si="13"/>
        <v>0</v>
      </c>
      <c r="E88" s="29"/>
      <c r="F88" s="29"/>
      <c r="G88" s="29"/>
      <c r="H88" s="29"/>
      <c r="I88" s="4"/>
      <c r="J88" s="29"/>
      <c r="K88" s="13" t="str">
        <f t="shared" si="17"/>
        <v/>
      </c>
      <c r="L88" s="29"/>
      <c r="M88" s="62"/>
      <c r="N88" s="14" t="e">
        <f>VLOOKUP(M88,コード!$A$2:$C$345,2,FALSE)</f>
        <v>#N/A</v>
      </c>
      <c r="O88" s="15">
        <f t="shared" si="12"/>
        <v>0</v>
      </c>
      <c r="P88" s="15"/>
    </row>
    <row r="89" spans="1:16" ht="19.5" customHeight="1">
      <c r="A89" s="26"/>
      <c r="B89" s="27"/>
      <c r="C89" s="30"/>
      <c r="D89" s="31">
        <f t="shared" si="13"/>
        <v>0</v>
      </c>
      <c r="E89" s="29"/>
      <c r="F89" s="29"/>
      <c r="G89" s="29"/>
      <c r="H89" s="29"/>
      <c r="I89" s="4"/>
      <c r="J89" s="29"/>
      <c r="K89" s="13" t="str">
        <f t="shared" si="17"/>
        <v/>
      </c>
      <c r="L89" s="29"/>
      <c r="M89" s="62"/>
      <c r="N89" s="14" t="e">
        <f>VLOOKUP(M89,コード!$A$2:$C$345,2,FALSE)</f>
        <v>#N/A</v>
      </c>
      <c r="O89" s="15">
        <f t="shared" si="12"/>
        <v>0</v>
      </c>
      <c r="P89" s="15"/>
    </row>
    <row r="90" spans="1:16" ht="19.5" customHeight="1">
      <c r="A90" s="26"/>
      <c r="B90" s="27"/>
      <c r="C90" s="30"/>
      <c r="D90" s="31">
        <f t="shared" si="13"/>
        <v>0</v>
      </c>
      <c r="E90" s="29"/>
      <c r="F90" s="29"/>
      <c r="G90" s="29"/>
      <c r="H90" s="29"/>
      <c r="I90" s="4"/>
      <c r="J90" s="29"/>
      <c r="K90" s="13" t="str">
        <f t="shared" si="17"/>
        <v/>
      </c>
      <c r="L90" s="29"/>
      <c r="M90" s="62"/>
      <c r="N90" s="14" t="e">
        <f>VLOOKUP(M90,コード!$A$2:$C$345,2,FALSE)</f>
        <v>#N/A</v>
      </c>
      <c r="O90" s="15">
        <f t="shared" si="12"/>
        <v>0</v>
      </c>
      <c r="P90" s="15"/>
    </row>
    <row r="91" spans="1:16" ht="19.5" customHeight="1">
      <c r="A91" s="26"/>
      <c r="B91" s="27"/>
      <c r="C91" s="30"/>
      <c r="D91" s="31">
        <f t="shared" ref="D91" si="18">ROUNDUP((B91+C91)/8,3)</f>
        <v>0</v>
      </c>
      <c r="E91" s="29"/>
      <c r="F91" s="29"/>
      <c r="G91" s="29"/>
      <c r="H91" s="29"/>
      <c r="I91" s="4"/>
      <c r="J91" s="29"/>
      <c r="K91" s="13" t="str">
        <f t="shared" si="14"/>
        <v/>
      </c>
      <c r="L91" s="29"/>
      <c r="M91" s="62"/>
      <c r="N91" s="14" t="e">
        <f>VLOOKUP(M91,コード!$A$2:$C$345,2,FALSE)</f>
        <v>#N/A</v>
      </c>
      <c r="O91" s="15">
        <f t="shared" si="12"/>
        <v>0</v>
      </c>
      <c r="P91" s="15"/>
    </row>
    <row r="92" spans="1:16" ht="19.5" customHeight="1">
      <c r="A92" s="26"/>
      <c r="B92" s="27"/>
      <c r="C92" s="30"/>
      <c r="D92" s="31">
        <f t="shared" si="13"/>
        <v>0</v>
      </c>
      <c r="E92" s="29"/>
      <c r="F92" s="29"/>
      <c r="G92" s="29"/>
      <c r="H92" s="29"/>
      <c r="I92" s="4"/>
      <c r="J92" s="29"/>
      <c r="K92" s="13" t="str">
        <f t="shared" si="14"/>
        <v/>
      </c>
      <c r="L92" s="29"/>
      <c r="M92" s="62"/>
      <c r="N92" s="14" t="e">
        <f>VLOOKUP(M92,コード!$A$2:$C$345,2,FALSE)</f>
        <v>#N/A</v>
      </c>
      <c r="O92" s="15">
        <f t="shared" si="12"/>
        <v>0</v>
      </c>
      <c r="P92" s="15"/>
    </row>
    <row r="93" spans="1:16" ht="19.5" customHeight="1">
      <c r="A93" s="26"/>
      <c r="B93" s="27"/>
      <c r="C93" s="30"/>
      <c r="D93" s="31">
        <f t="shared" si="13"/>
        <v>0</v>
      </c>
      <c r="E93" s="29"/>
      <c r="F93" s="29"/>
      <c r="G93" s="29"/>
      <c r="H93" s="29"/>
      <c r="I93" s="4"/>
      <c r="J93" s="29"/>
      <c r="K93" s="13" t="str">
        <f t="shared" ref="K93:K109" si="19">F93&amp;G93</f>
        <v/>
      </c>
      <c r="L93" s="29"/>
      <c r="M93" s="62"/>
      <c r="N93" s="14" t="e">
        <f>VLOOKUP(M93,コード!$A$2:$C$345,2,FALSE)</f>
        <v>#N/A</v>
      </c>
      <c r="O93" s="15">
        <f t="shared" si="12"/>
        <v>0</v>
      </c>
      <c r="P93" s="15"/>
    </row>
    <row r="94" spans="1:16" ht="19.5" customHeight="1">
      <c r="A94" s="26"/>
      <c r="B94" s="27"/>
      <c r="C94" s="30"/>
      <c r="D94" s="31">
        <f t="shared" si="13"/>
        <v>0</v>
      </c>
      <c r="E94" s="29"/>
      <c r="F94" s="29"/>
      <c r="G94" s="29"/>
      <c r="H94" s="29"/>
      <c r="I94" s="4"/>
      <c r="J94" s="29"/>
      <c r="K94" s="13" t="str">
        <f t="shared" si="19"/>
        <v/>
      </c>
      <c r="L94" s="29"/>
      <c r="M94" s="62"/>
      <c r="N94" s="14" t="e">
        <f>VLOOKUP(M94,コード!$A$2:$C$345,2,FALSE)</f>
        <v>#N/A</v>
      </c>
      <c r="O94" s="15">
        <f t="shared" si="12"/>
        <v>0</v>
      </c>
      <c r="P94" s="15"/>
    </row>
    <row r="95" spans="1:16" ht="19.5" customHeight="1">
      <c r="A95" s="26"/>
      <c r="B95" s="27"/>
      <c r="C95" s="30"/>
      <c r="D95" s="31">
        <f t="shared" si="13"/>
        <v>0</v>
      </c>
      <c r="E95" s="29"/>
      <c r="F95" s="29"/>
      <c r="G95" s="29"/>
      <c r="H95" s="29"/>
      <c r="I95" s="4"/>
      <c r="J95" s="29"/>
      <c r="K95" s="13" t="str">
        <f t="shared" si="19"/>
        <v/>
      </c>
      <c r="L95" s="29"/>
      <c r="M95" s="62"/>
      <c r="N95" s="14" t="e">
        <f>VLOOKUP(M95,コード!$A$2:$C$345,2,FALSE)</f>
        <v>#N/A</v>
      </c>
      <c r="O95" s="15">
        <f t="shared" si="12"/>
        <v>0</v>
      </c>
      <c r="P95" s="15"/>
    </row>
    <row r="96" spans="1:16" ht="19.5" customHeight="1">
      <c r="A96" s="26"/>
      <c r="B96" s="27"/>
      <c r="C96" s="30"/>
      <c r="D96" s="31">
        <f t="shared" si="13"/>
        <v>0</v>
      </c>
      <c r="E96" s="29"/>
      <c r="F96" s="29"/>
      <c r="G96" s="29"/>
      <c r="H96" s="29"/>
      <c r="I96" s="4"/>
      <c r="J96" s="29"/>
      <c r="K96" s="13" t="str">
        <f t="shared" si="19"/>
        <v/>
      </c>
      <c r="L96" s="29"/>
      <c r="M96" s="62"/>
      <c r="N96" s="14" t="e">
        <f>VLOOKUP(M96,コード!$A$2:$C$345,2,FALSE)</f>
        <v>#N/A</v>
      </c>
      <c r="O96" s="15">
        <f t="shared" si="12"/>
        <v>0</v>
      </c>
      <c r="P96" s="15"/>
    </row>
    <row r="97" spans="1:16" ht="19.5" customHeight="1">
      <c r="A97" s="26"/>
      <c r="B97" s="27"/>
      <c r="C97" s="30"/>
      <c r="D97" s="31">
        <f t="shared" si="13"/>
        <v>0</v>
      </c>
      <c r="E97" s="29"/>
      <c r="F97" s="29"/>
      <c r="G97" s="29"/>
      <c r="H97" s="29"/>
      <c r="I97" s="4"/>
      <c r="J97" s="29"/>
      <c r="K97" s="13" t="str">
        <f t="shared" si="19"/>
        <v/>
      </c>
      <c r="L97" s="29"/>
      <c r="M97" s="62"/>
      <c r="N97" s="14" t="e">
        <f>VLOOKUP(M97,コード!$A$2:$C$345,2,FALSE)</f>
        <v>#N/A</v>
      </c>
      <c r="O97" s="15">
        <f t="shared" si="12"/>
        <v>0</v>
      </c>
      <c r="P97" s="15"/>
    </row>
    <row r="98" spans="1:16" ht="19.5" customHeight="1">
      <c r="A98" s="26"/>
      <c r="B98" s="27"/>
      <c r="C98" s="30"/>
      <c r="D98" s="31">
        <f t="shared" ref="D98:D99" si="20">ROUNDUP((B98+C98)/8,3)</f>
        <v>0</v>
      </c>
      <c r="E98" s="29"/>
      <c r="F98" s="29"/>
      <c r="G98" s="29"/>
      <c r="H98" s="29"/>
      <c r="I98" s="4"/>
      <c r="J98" s="29"/>
      <c r="K98" s="13" t="str">
        <f t="shared" si="19"/>
        <v/>
      </c>
      <c r="L98" s="29"/>
      <c r="M98" s="62"/>
      <c r="N98" s="14" t="e">
        <f>VLOOKUP(M98,コード!$A$2:$C$345,2,FALSE)</f>
        <v>#N/A</v>
      </c>
      <c r="O98" s="15">
        <f t="shared" ref="O98:O99" si="21">I98</f>
        <v>0</v>
      </c>
      <c r="P98" s="15"/>
    </row>
    <row r="99" spans="1:16" ht="19.5" customHeight="1">
      <c r="A99" s="26"/>
      <c r="B99" s="27"/>
      <c r="C99" s="30"/>
      <c r="D99" s="31">
        <f t="shared" si="20"/>
        <v>0</v>
      </c>
      <c r="E99" s="29"/>
      <c r="F99" s="29"/>
      <c r="G99" s="29"/>
      <c r="H99" s="29"/>
      <c r="I99" s="4"/>
      <c r="J99" s="29"/>
      <c r="K99" s="13" t="str">
        <f t="shared" si="19"/>
        <v/>
      </c>
      <c r="L99" s="29"/>
      <c r="M99" s="62"/>
      <c r="N99" s="14" t="e">
        <f>VLOOKUP(M99,コード!$A$2:$C$345,2,FALSE)</f>
        <v>#N/A</v>
      </c>
      <c r="O99" s="15">
        <f t="shared" si="21"/>
        <v>0</v>
      </c>
      <c r="P99" s="15"/>
    </row>
    <row r="100" spans="1:16" ht="19.5" customHeight="1">
      <c r="A100" s="26"/>
      <c r="B100" s="27"/>
      <c r="C100" s="30"/>
      <c r="D100" s="31">
        <f t="shared" ref="D100:D101" si="22">ROUNDUP((B100+C100)/8,3)</f>
        <v>0</v>
      </c>
      <c r="E100" s="29"/>
      <c r="F100" s="29"/>
      <c r="G100" s="29"/>
      <c r="H100" s="29"/>
      <c r="I100" s="4"/>
      <c r="J100" s="29"/>
      <c r="K100" s="13" t="str">
        <f t="shared" si="19"/>
        <v/>
      </c>
      <c r="L100" s="29"/>
      <c r="M100" s="62"/>
      <c r="N100" s="14" t="e">
        <f>VLOOKUP(M100,コード!$A$2:$C$345,2,FALSE)</f>
        <v>#N/A</v>
      </c>
      <c r="O100" s="15">
        <f t="shared" ref="O100:O101" si="23">I100</f>
        <v>0</v>
      </c>
      <c r="P100" s="15"/>
    </row>
    <row r="101" spans="1:16" ht="19.5" customHeight="1">
      <c r="A101" s="26"/>
      <c r="B101" s="27"/>
      <c r="C101" s="30"/>
      <c r="D101" s="31">
        <f t="shared" si="22"/>
        <v>0</v>
      </c>
      <c r="E101" s="29"/>
      <c r="F101" s="29"/>
      <c r="G101" s="29"/>
      <c r="H101" s="29"/>
      <c r="I101" s="4"/>
      <c r="J101" s="29"/>
      <c r="K101" s="13" t="str">
        <f t="shared" si="19"/>
        <v/>
      </c>
      <c r="L101" s="29"/>
      <c r="M101" s="62"/>
      <c r="N101" s="14" t="e">
        <f>VLOOKUP(M101,コード!$A$2:$C$345,2,FALSE)</f>
        <v>#N/A</v>
      </c>
      <c r="O101" s="15">
        <f t="shared" si="23"/>
        <v>0</v>
      </c>
      <c r="P101" s="15"/>
    </row>
    <row r="102" spans="1:16" ht="19.5" customHeight="1">
      <c r="A102" s="26"/>
      <c r="B102" s="27"/>
      <c r="C102" s="30"/>
      <c r="D102" s="31">
        <f t="shared" si="13"/>
        <v>0</v>
      </c>
      <c r="E102" s="29"/>
      <c r="F102" s="29"/>
      <c r="G102" s="29"/>
      <c r="H102" s="29"/>
      <c r="I102" s="4"/>
      <c r="J102" s="29"/>
      <c r="K102" s="13" t="str">
        <f t="shared" si="19"/>
        <v/>
      </c>
      <c r="L102" s="29"/>
      <c r="M102" s="62"/>
      <c r="N102" s="14" t="e">
        <f>VLOOKUP(M102,コード!$A$2:$C$345,2,FALSE)</f>
        <v>#N/A</v>
      </c>
      <c r="O102" s="15">
        <f t="shared" si="12"/>
        <v>0</v>
      </c>
      <c r="P102" s="15"/>
    </row>
    <row r="103" spans="1:16" ht="19.5" customHeight="1">
      <c r="A103" s="26"/>
      <c r="B103" s="27"/>
      <c r="C103" s="30"/>
      <c r="D103" s="31">
        <f t="shared" si="13"/>
        <v>0</v>
      </c>
      <c r="E103" s="29"/>
      <c r="F103" s="29"/>
      <c r="G103" s="29"/>
      <c r="H103" s="29"/>
      <c r="I103" s="4"/>
      <c r="J103" s="29"/>
      <c r="K103" s="13" t="str">
        <f t="shared" si="19"/>
        <v/>
      </c>
      <c r="L103" s="29"/>
      <c r="M103" s="62"/>
      <c r="N103" s="14" t="e">
        <f>VLOOKUP(M103,コード!$A$2:$C$345,2,FALSE)</f>
        <v>#N/A</v>
      </c>
      <c r="O103" s="15">
        <f t="shared" si="12"/>
        <v>0</v>
      </c>
      <c r="P103" s="15"/>
    </row>
    <row r="104" spans="1:16" ht="19.5" customHeight="1">
      <c r="A104" s="26"/>
      <c r="B104" s="27"/>
      <c r="C104" s="30"/>
      <c r="D104" s="31">
        <f t="shared" si="13"/>
        <v>0</v>
      </c>
      <c r="E104" s="29"/>
      <c r="F104" s="29"/>
      <c r="G104" s="29"/>
      <c r="H104" s="29"/>
      <c r="I104" s="4"/>
      <c r="J104" s="29"/>
      <c r="K104" s="13" t="str">
        <f t="shared" si="19"/>
        <v/>
      </c>
      <c r="L104" s="29"/>
      <c r="M104" s="62"/>
      <c r="N104" s="14" t="e">
        <f>VLOOKUP(M104,コード!$A$2:$C$345,2,FALSE)</f>
        <v>#N/A</v>
      </c>
      <c r="O104" s="15">
        <f t="shared" si="12"/>
        <v>0</v>
      </c>
      <c r="P104" s="15"/>
    </row>
    <row r="105" spans="1:16" ht="19.5" customHeight="1">
      <c r="A105" s="26"/>
      <c r="B105" s="27"/>
      <c r="C105" s="30"/>
      <c r="D105" s="31">
        <f t="shared" si="13"/>
        <v>0</v>
      </c>
      <c r="E105" s="29"/>
      <c r="F105" s="29"/>
      <c r="G105" s="29"/>
      <c r="H105" s="29"/>
      <c r="I105" s="4"/>
      <c r="J105" s="29"/>
      <c r="K105" s="13" t="str">
        <f t="shared" si="19"/>
        <v/>
      </c>
      <c r="L105" s="29"/>
      <c r="M105" s="62"/>
      <c r="N105" s="14" t="e">
        <f>VLOOKUP(M105,コード!$A$2:$C$345,2,FALSE)</f>
        <v>#N/A</v>
      </c>
      <c r="O105" s="15">
        <f t="shared" si="12"/>
        <v>0</v>
      </c>
      <c r="P105" s="15"/>
    </row>
    <row r="106" spans="1:16" ht="19.5" customHeight="1">
      <c r="A106" s="26"/>
      <c r="B106" s="27"/>
      <c r="C106" s="30"/>
      <c r="D106" s="31">
        <f t="shared" si="13"/>
        <v>0</v>
      </c>
      <c r="E106" s="29"/>
      <c r="F106" s="29"/>
      <c r="G106" s="29"/>
      <c r="H106" s="29"/>
      <c r="I106" s="4"/>
      <c r="J106" s="29"/>
      <c r="K106" s="13" t="str">
        <f t="shared" si="19"/>
        <v/>
      </c>
      <c r="L106" s="29"/>
      <c r="M106" s="62"/>
      <c r="N106" s="14" t="e">
        <f>VLOOKUP(M106,コード!$A$2:$C$345,2,FALSE)</f>
        <v>#N/A</v>
      </c>
      <c r="O106" s="15">
        <f t="shared" si="12"/>
        <v>0</v>
      </c>
      <c r="P106" s="15"/>
    </row>
    <row r="107" spans="1:16" ht="19.5" customHeight="1">
      <c r="A107" s="26"/>
      <c r="B107" s="27"/>
      <c r="C107" s="30"/>
      <c r="D107" s="31">
        <f t="shared" si="13"/>
        <v>0</v>
      </c>
      <c r="E107" s="29"/>
      <c r="F107" s="29"/>
      <c r="G107" s="29"/>
      <c r="H107" s="29"/>
      <c r="I107" s="4"/>
      <c r="J107" s="29"/>
      <c r="K107" s="13" t="str">
        <f t="shared" si="19"/>
        <v/>
      </c>
      <c r="L107" s="29"/>
      <c r="M107" s="62"/>
      <c r="N107" s="14" t="e">
        <f>VLOOKUP(M107,コード!$A$2:$C$345,2,FALSE)</f>
        <v>#N/A</v>
      </c>
      <c r="O107" s="15">
        <f t="shared" si="12"/>
        <v>0</v>
      </c>
      <c r="P107" s="15"/>
    </row>
    <row r="108" spans="1:16" ht="19.5" customHeight="1">
      <c r="A108" s="26"/>
      <c r="B108" s="27"/>
      <c r="C108" s="30"/>
      <c r="D108" s="31">
        <f t="shared" si="13"/>
        <v>0</v>
      </c>
      <c r="E108" s="29"/>
      <c r="F108" s="29"/>
      <c r="G108" s="29"/>
      <c r="H108" s="29"/>
      <c r="I108" s="4"/>
      <c r="J108" s="29"/>
      <c r="K108" s="13" t="str">
        <f t="shared" si="19"/>
        <v/>
      </c>
      <c r="L108" s="29"/>
      <c r="M108" s="62"/>
      <c r="N108" s="14" t="e">
        <f>VLOOKUP(M108,コード!$A$2:$C$345,2,FALSE)</f>
        <v>#N/A</v>
      </c>
      <c r="O108" s="15">
        <f t="shared" si="12"/>
        <v>0</v>
      </c>
      <c r="P108" s="15"/>
    </row>
    <row r="109" spans="1:16" ht="19.5" customHeight="1">
      <c r="A109" s="26"/>
      <c r="B109" s="27"/>
      <c r="C109" s="30"/>
      <c r="D109" s="31">
        <f t="shared" si="13"/>
        <v>0</v>
      </c>
      <c r="E109" s="29"/>
      <c r="F109" s="29"/>
      <c r="G109" s="29"/>
      <c r="H109" s="29"/>
      <c r="I109" s="4"/>
      <c r="J109" s="29"/>
      <c r="K109" s="13" t="str">
        <f t="shared" si="19"/>
        <v/>
      </c>
      <c r="L109" s="29"/>
      <c r="M109" s="62"/>
      <c r="N109" s="14" t="e">
        <f>VLOOKUP(M109,コード!$A$2:$C$345,2,FALSE)</f>
        <v>#N/A</v>
      </c>
      <c r="O109" s="15">
        <f t="shared" si="12"/>
        <v>0</v>
      </c>
      <c r="P109" s="15"/>
    </row>
    <row r="110" spans="1:16" ht="19.5" customHeight="1">
      <c r="A110" s="26"/>
      <c r="B110" s="27"/>
      <c r="C110" s="30"/>
      <c r="D110" s="31">
        <f t="shared" ref="D110:D112" si="24">ROUNDUP((B110+C110)/8,3)</f>
        <v>0</v>
      </c>
      <c r="E110" s="29"/>
      <c r="F110" s="29"/>
      <c r="G110" s="29"/>
      <c r="H110" s="29"/>
      <c r="I110" s="4"/>
      <c r="J110" s="29"/>
      <c r="K110" s="13" t="str">
        <f t="shared" ref="K110:K159" si="25">F110&amp;G110</f>
        <v/>
      </c>
      <c r="L110" s="29"/>
      <c r="M110" s="62"/>
      <c r="N110" s="14" t="e">
        <f>VLOOKUP(M110,コード!$A$2:$C$345,2,FALSE)</f>
        <v>#N/A</v>
      </c>
      <c r="O110" s="15">
        <f t="shared" ref="O110:O156" si="26">I110</f>
        <v>0</v>
      </c>
      <c r="P110" s="15"/>
    </row>
    <row r="111" spans="1:16" ht="19.5" customHeight="1">
      <c r="A111" s="26"/>
      <c r="B111" s="27"/>
      <c r="C111" s="30"/>
      <c r="D111" s="31">
        <f t="shared" si="24"/>
        <v>0</v>
      </c>
      <c r="E111" s="29"/>
      <c r="F111" s="29"/>
      <c r="G111" s="29"/>
      <c r="H111" s="29"/>
      <c r="I111" s="4"/>
      <c r="J111" s="29"/>
      <c r="K111" s="13" t="str">
        <f t="shared" si="25"/>
        <v/>
      </c>
      <c r="L111" s="29"/>
      <c r="M111" s="62"/>
      <c r="N111" s="14" t="e">
        <f>VLOOKUP(M111,コード!$A$2:$C$345,2,FALSE)</f>
        <v>#N/A</v>
      </c>
      <c r="O111" s="15">
        <f t="shared" si="26"/>
        <v>0</v>
      </c>
      <c r="P111" s="15"/>
    </row>
    <row r="112" spans="1:16" ht="19.5" customHeight="1">
      <c r="A112" s="26"/>
      <c r="B112" s="27"/>
      <c r="C112" s="30"/>
      <c r="D112" s="31">
        <f t="shared" si="24"/>
        <v>0</v>
      </c>
      <c r="E112" s="29"/>
      <c r="F112" s="29"/>
      <c r="G112" s="29"/>
      <c r="H112" s="29"/>
      <c r="I112" s="4"/>
      <c r="J112" s="29"/>
      <c r="K112" s="13" t="str">
        <f t="shared" si="25"/>
        <v/>
      </c>
      <c r="L112" s="29"/>
      <c r="M112" s="62"/>
      <c r="N112" s="14" t="e">
        <f>VLOOKUP(M112,コード!$A$2:$C$345,2,FALSE)</f>
        <v>#N/A</v>
      </c>
      <c r="O112" s="15">
        <f t="shared" si="26"/>
        <v>0</v>
      </c>
      <c r="P112" s="15"/>
    </row>
    <row r="113" spans="1:16" ht="19.5" customHeight="1">
      <c r="A113" s="26"/>
      <c r="B113" s="27"/>
      <c r="C113" s="30"/>
      <c r="D113" s="31">
        <f t="shared" ref="D113:D151" si="27">ROUNDUP((B113+C113)/8,3)</f>
        <v>0</v>
      </c>
      <c r="E113" s="29"/>
      <c r="F113" s="29"/>
      <c r="G113" s="29"/>
      <c r="H113" s="29"/>
      <c r="I113" s="4"/>
      <c r="J113" s="29"/>
      <c r="K113" s="13" t="str">
        <f t="shared" si="25"/>
        <v/>
      </c>
      <c r="L113" s="29"/>
      <c r="M113" s="62"/>
      <c r="N113" s="14" t="e">
        <f>VLOOKUP(M113,コード!$A$2:$C$345,2,FALSE)</f>
        <v>#N/A</v>
      </c>
      <c r="O113" s="15">
        <f t="shared" si="26"/>
        <v>0</v>
      </c>
      <c r="P113" s="15"/>
    </row>
    <row r="114" spans="1:16" ht="19.5" customHeight="1">
      <c r="A114" s="26"/>
      <c r="B114" s="27"/>
      <c r="C114" s="30"/>
      <c r="D114" s="31">
        <f t="shared" si="27"/>
        <v>0</v>
      </c>
      <c r="E114" s="29"/>
      <c r="F114" s="29"/>
      <c r="G114" s="29"/>
      <c r="H114" s="29"/>
      <c r="I114" s="4"/>
      <c r="J114" s="29"/>
      <c r="K114" s="13" t="str">
        <f t="shared" si="25"/>
        <v/>
      </c>
      <c r="L114" s="29"/>
      <c r="M114" s="62"/>
      <c r="N114" s="14" t="e">
        <f>VLOOKUP(M114,コード!$A$2:$C$345,2,FALSE)</f>
        <v>#N/A</v>
      </c>
      <c r="O114" s="15">
        <f t="shared" si="26"/>
        <v>0</v>
      </c>
      <c r="P114" s="15"/>
    </row>
    <row r="115" spans="1:16" ht="19.5" customHeight="1">
      <c r="A115" s="26"/>
      <c r="B115" s="27"/>
      <c r="C115" s="30"/>
      <c r="D115" s="31">
        <f t="shared" si="27"/>
        <v>0</v>
      </c>
      <c r="E115" s="29"/>
      <c r="F115" s="29"/>
      <c r="G115" s="29"/>
      <c r="H115" s="29"/>
      <c r="I115" s="4"/>
      <c r="J115" s="29"/>
      <c r="K115" s="13" t="str">
        <f t="shared" si="25"/>
        <v/>
      </c>
      <c r="L115" s="29"/>
      <c r="M115" s="62"/>
      <c r="N115" s="14" t="e">
        <f>VLOOKUP(M115,コード!$A$2:$C$345,2,FALSE)</f>
        <v>#N/A</v>
      </c>
      <c r="O115" s="15">
        <f t="shared" si="26"/>
        <v>0</v>
      </c>
      <c r="P115" s="15"/>
    </row>
    <row r="116" spans="1:16" ht="19.5" customHeight="1">
      <c r="A116" s="26"/>
      <c r="B116" s="27"/>
      <c r="C116" s="30"/>
      <c r="D116" s="31">
        <f t="shared" si="27"/>
        <v>0</v>
      </c>
      <c r="E116" s="29"/>
      <c r="F116" s="29"/>
      <c r="G116" s="29"/>
      <c r="H116" s="29"/>
      <c r="I116" s="4"/>
      <c r="J116" s="29"/>
      <c r="K116" s="13" t="str">
        <f t="shared" si="25"/>
        <v/>
      </c>
      <c r="L116" s="29"/>
      <c r="M116" s="62"/>
      <c r="N116" s="14" t="e">
        <f>VLOOKUP(M116,コード!$A$2:$C$345,2,FALSE)</f>
        <v>#N/A</v>
      </c>
      <c r="O116" s="15">
        <f t="shared" si="26"/>
        <v>0</v>
      </c>
      <c r="P116" s="15"/>
    </row>
    <row r="117" spans="1:16" ht="19.5" customHeight="1">
      <c r="A117" s="26"/>
      <c r="B117" s="27"/>
      <c r="C117" s="30"/>
      <c r="D117" s="31">
        <f t="shared" si="27"/>
        <v>0</v>
      </c>
      <c r="E117" s="29"/>
      <c r="F117" s="29"/>
      <c r="G117" s="29"/>
      <c r="H117" s="29"/>
      <c r="I117" s="4"/>
      <c r="J117" s="29"/>
      <c r="K117" s="13" t="str">
        <f t="shared" si="25"/>
        <v/>
      </c>
      <c r="L117" s="29"/>
      <c r="M117" s="62"/>
      <c r="N117" s="14" t="e">
        <f>VLOOKUP(M117,コード!$A$2:$C$345,2,FALSE)</f>
        <v>#N/A</v>
      </c>
      <c r="O117" s="15">
        <f t="shared" si="26"/>
        <v>0</v>
      </c>
      <c r="P117" s="15"/>
    </row>
    <row r="118" spans="1:16" ht="19.5" customHeight="1">
      <c r="A118" s="26"/>
      <c r="B118" s="27"/>
      <c r="C118" s="30"/>
      <c r="D118" s="31">
        <f t="shared" si="27"/>
        <v>0</v>
      </c>
      <c r="E118" s="29"/>
      <c r="F118" s="29"/>
      <c r="G118" s="29"/>
      <c r="H118" s="29"/>
      <c r="I118" s="4"/>
      <c r="J118" s="29"/>
      <c r="K118" s="13" t="str">
        <f t="shared" si="25"/>
        <v/>
      </c>
      <c r="L118" s="29"/>
      <c r="M118" s="62"/>
      <c r="N118" s="14" t="e">
        <f>VLOOKUP(M118,コード!$A$2:$C$345,2,FALSE)</f>
        <v>#N/A</v>
      </c>
      <c r="O118" s="15">
        <f t="shared" si="26"/>
        <v>0</v>
      </c>
      <c r="P118" s="15"/>
    </row>
    <row r="119" spans="1:16" ht="19.5" customHeight="1">
      <c r="A119" s="26"/>
      <c r="B119" s="27"/>
      <c r="C119" s="30"/>
      <c r="D119" s="31">
        <f t="shared" si="27"/>
        <v>0</v>
      </c>
      <c r="E119" s="29"/>
      <c r="F119" s="29"/>
      <c r="G119" s="29"/>
      <c r="H119" s="29"/>
      <c r="I119" s="4"/>
      <c r="J119" s="29"/>
      <c r="K119" s="13" t="str">
        <f t="shared" si="25"/>
        <v/>
      </c>
      <c r="L119" s="29"/>
      <c r="M119" s="62"/>
      <c r="N119" s="14" t="e">
        <f>VLOOKUP(M119,コード!$A$2:$C$345,2,FALSE)</f>
        <v>#N/A</v>
      </c>
      <c r="O119" s="15">
        <f t="shared" si="26"/>
        <v>0</v>
      </c>
      <c r="P119" s="15"/>
    </row>
    <row r="120" spans="1:16" ht="19.5" customHeight="1">
      <c r="A120" s="26"/>
      <c r="B120" s="27"/>
      <c r="C120" s="30"/>
      <c r="D120" s="31">
        <f t="shared" si="27"/>
        <v>0</v>
      </c>
      <c r="E120" s="29"/>
      <c r="F120" s="29"/>
      <c r="G120" s="29"/>
      <c r="H120" s="29"/>
      <c r="I120" s="4"/>
      <c r="J120" s="29"/>
      <c r="K120" s="13" t="str">
        <f t="shared" ref="K120:K131" si="28">F120&amp;G120</f>
        <v/>
      </c>
      <c r="L120" s="29"/>
      <c r="M120" s="62"/>
      <c r="N120" s="14" t="e">
        <f>VLOOKUP(M120,コード!$A$2:$C$345,2,FALSE)</f>
        <v>#N/A</v>
      </c>
      <c r="O120" s="15">
        <f t="shared" si="26"/>
        <v>0</v>
      </c>
      <c r="P120" s="15"/>
    </row>
    <row r="121" spans="1:16" ht="19.5" customHeight="1">
      <c r="A121" s="26"/>
      <c r="B121" s="27"/>
      <c r="C121" s="30"/>
      <c r="D121" s="31">
        <f t="shared" si="27"/>
        <v>0</v>
      </c>
      <c r="E121" s="29"/>
      <c r="F121" s="29"/>
      <c r="G121" s="29"/>
      <c r="H121" s="29"/>
      <c r="I121" s="4"/>
      <c r="J121" s="29"/>
      <c r="K121" s="13" t="str">
        <f t="shared" si="28"/>
        <v/>
      </c>
      <c r="L121" s="29"/>
      <c r="M121" s="62"/>
      <c r="N121" s="14" t="e">
        <f>VLOOKUP(M121,コード!$A$2:$C$345,2,FALSE)</f>
        <v>#N/A</v>
      </c>
      <c r="O121" s="15">
        <f t="shared" si="26"/>
        <v>0</v>
      </c>
      <c r="P121" s="15"/>
    </row>
    <row r="122" spans="1:16" ht="19.5" customHeight="1">
      <c r="A122" s="26"/>
      <c r="B122" s="27"/>
      <c r="C122" s="30"/>
      <c r="D122" s="31">
        <f t="shared" si="27"/>
        <v>0</v>
      </c>
      <c r="E122" s="29"/>
      <c r="F122" s="29"/>
      <c r="G122" s="29"/>
      <c r="H122" s="29"/>
      <c r="I122" s="4"/>
      <c r="J122" s="29"/>
      <c r="K122" s="13" t="str">
        <f t="shared" si="28"/>
        <v/>
      </c>
      <c r="L122" s="29"/>
      <c r="M122" s="62"/>
      <c r="N122" s="14" t="e">
        <f>VLOOKUP(M122,コード!$A$2:$C$345,2,FALSE)</f>
        <v>#N/A</v>
      </c>
      <c r="O122" s="15">
        <f t="shared" si="26"/>
        <v>0</v>
      </c>
      <c r="P122" s="15"/>
    </row>
    <row r="123" spans="1:16" ht="19.5" customHeight="1">
      <c r="A123" s="26"/>
      <c r="B123" s="27"/>
      <c r="C123" s="30"/>
      <c r="D123" s="31">
        <f t="shared" si="27"/>
        <v>0</v>
      </c>
      <c r="E123" s="29"/>
      <c r="F123" s="29"/>
      <c r="G123" s="29"/>
      <c r="H123" s="29"/>
      <c r="I123" s="4"/>
      <c r="J123" s="29"/>
      <c r="K123" s="13" t="str">
        <f t="shared" si="28"/>
        <v/>
      </c>
      <c r="L123" s="29"/>
      <c r="M123" s="62"/>
      <c r="N123" s="14" t="e">
        <f>VLOOKUP(M123,コード!$A$2:$C$345,2,FALSE)</f>
        <v>#N/A</v>
      </c>
      <c r="O123" s="15">
        <f t="shared" si="26"/>
        <v>0</v>
      </c>
      <c r="P123" s="15"/>
    </row>
    <row r="124" spans="1:16" ht="19.5" customHeight="1">
      <c r="A124" s="26"/>
      <c r="B124" s="27"/>
      <c r="C124" s="30"/>
      <c r="D124" s="31">
        <f t="shared" ref="D124:D130" si="29">ROUNDUP((B124+C124)/8,3)</f>
        <v>0</v>
      </c>
      <c r="E124" s="29"/>
      <c r="F124" s="29"/>
      <c r="G124" s="29"/>
      <c r="H124" s="29"/>
      <c r="I124" s="4"/>
      <c r="J124" s="29"/>
      <c r="K124" s="13" t="str">
        <f t="shared" si="28"/>
        <v/>
      </c>
      <c r="L124" s="29"/>
      <c r="M124" s="62"/>
      <c r="N124" s="14" t="e">
        <f>VLOOKUP(M124,コード!$A$2:$C$345,2,FALSE)</f>
        <v>#N/A</v>
      </c>
      <c r="O124" s="15">
        <f t="shared" si="26"/>
        <v>0</v>
      </c>
      <c r="P124" s="15"/>
    </row>
    <row r="125" spans="1:16" ht="19.5" customHeight="1">
      <c r="A125" s="26"/>
      <c r="B125" s="27"/>
      <c r="C125" s="30"/>
      <c r="D125" s="31">
        <f t="shared" si="29"/>
        <v>0</v>
      </c>
      <c r="E125" s="29"/>
      <c r="F125" s="29"/>
      <c r="G125" s="29"/>
      <c r="H125" s="29"/>
      <c r="I125" s="4"/>
      <c r="J125" s="29"/>
      <c r="K125" s="13" t="str">
        <f t="shared" si="28"/>
        <v/>
      </c>
      <c r="L125" s="29"/>
      <c r="M125" s="62"/>
      <c r="N125" s="14" t="e">
        <f>VLOOKUP(M125,コード!$A$2:$C$345,2,FALSE)</f>
        <v>#N/A</v>
      </c>
      <c r="O125" s="15">
        <f t="shared" si="26"/>
        <v>0</v>
      </c>
      <c r="P125" s="15"/>
    </row>
    <row r="126" spans="1:16" ht="19.5" customHeight="1">
      <c r="A126" s="26"/>
      <c r="B126" s="27"/>
      <c r="C126" s="30"/>
      <c r="D126" s="31">
        <f t="shared" si="29"/>
        <v>0</v>
      </c>
      <c r="E126" s="29"/>
      <c r="F126" s="29"/>
      <c r="G126" s="29"/>
      <c r="H126" s="29"/>
      <c r="I126" s="4"/>
      <c r="J126" s="29"/>
      <c r="K126" s="13" t="str">
        <f t="shared" si="28"/>
        <v/>
      </c>
      <c r="L126" s="29"/>
      <c r="M126" s="62"/>
      <c r="N126" s="14" t="e">
        <f>VLOOKUP(M126,コード!$A$2:$C$345,2,FALSE)</f>
        <v>#N/A</v>
      </c>
      <c r="O126" s="15">
        <f t="shared" si="26"/>
        <v>0</v>
      </c>
      <c r="P126" s="15"/>
    </row>
    <row r="127" spans="1:16" ht="19.5" customHeight="1">
      <c r="A127" s="26"/>
      <c r="B127" s="27"/>
      <c r="C127" s="30"/>
      <c r="D127" s="31">
        <f t="shared" si="29"/>
        <v>0</v>
      </c>
      <c r="E127" s="29"/>
      <c r="F127" s="29"/>
      <c r="G127" s="29"/>
      <c r="H127" s="29"/>
      <c r="I127" s="4"/>
      <c r="J127" s="29"/>
      <c r="K127" s="13" t="str">
        <f t="shared" si="28"/>
        <v/>
      </c>
      <c r="L127" s="29"/>
      <c r="M127" s="62"/>
      <c r="N127" s="14" t="e">
        <f>VLOOKUP(M127,コード!$A$2:$C$345,2,FALSE)</f>
        <v>#N/A</v>
      </c>
      <c r="O127" s="15">
        <f t="shared" si="26"/>
        <v>0</v>
      </c>
      <c r="P127" s="15"/>
    </row>
    <row r="128" spans="1:16" ht="19.5" customHeight="1">
      <c r="A128" s="26"/>
      <c r="B128" s="27"/>
      <c r="C128" s="30"/>
      <c r="D128" s="31">
        <f t="shared" si="29"/>
        <v>0</v>
      </c>
      <c r="E128" s="29"/>
      <c r="F128" s="29"/>
      <c r="G128" s="29"/>
      <c r="H128" s="29"/>
      <c r="I128" s="4"/>
      <c r="J128" s="29"/>
      <c r="K128" s="13" t="str">
        <f t="shared" si="28"/>
        <v/>
      </c>
      <c r="L128" s="29"/>
      <c r="M128" s="62"/>
      <c r="N128" s="14" t="e">
        <f>VLOOKUP(M128,コード!$A$2:$C$345,2,FALSE)</f>
        <v>#N/A</v>
      </c>
      <c r="O128" s="15">
        <f t="shared" si="26"/>
        <v>0</v>
      </c>
      <c r="P128" s="15"/>
    </row>
    <row r="129" spans="1:16" ht="19.5" customHeight="1">
      <c r="A129" s="26"/>
      <c r="B129" s="27"/>
      <c r="C129" s="30"/>
      <c r="D129" s="31">
        <f t="shared" si="29"/>
        <v>0</v>
      </c>
      <c r="E129" s="29"/>
      <c r="F129" s="29"/>
      <c r="G129" s="29"/>
      <c r="H129" s="29"/>
      <c r="I129" s="4"/>
      <c r="J129" s="29"/>
      <c r="K129" s="13" t="str">
        <f t="shared" si="28"/>
        <v/>
      </c>
      <c r="L129" s="29"/>
      <c r="M129" s="62"/>
      <c r="N129" s="14" t="e">
        <f>VLOOKUP(M129,コード!$A$2:$C$345,2,FALSE)</f>
        <v>#N/A</v>
      </c>
      <c r="O129" s="15">
        <f t="shared" si="26"/>
        <v>0</v>
      </c>
      <c r="P129" s="15"/>
    </row>
    <row r="130" spans="1:16" ht="19.5" customHeight="1">
      <c r="A130" s="26"/>
      <c r="B130" s="27"/>
      <c r="C130" s="30"/>
      <c r="D130" s="31">
        <f t="shared" si="29"/>
        <v>0</v>
      </c>
      <c r="E130" s="29"/>
      <c r="F130" s="29"/>
      <c r="G130" s="29"/>
      <c r="H130" s="29"/>
      <c r="I130" s="4"/>
      <c r="J130" s="29"/>
      <c r="K130" s="13" t="str">
        <f t="shared" si="28"/>
        <v/>
      </c>
      <c r="L130" s="29"/>
      <c r="M130" s="62"/>
      <c r="N130" s="14" t="e">
        <f>VLOOKUP(M130,コード!$A$2:$C$345,2,FALSE)</f>
        <v>#N/A</v>
      </c>
      <c r="O130" s="15">
        <f t="shared" si="26"/>
        <v>0</v>
      </c>
      <c r="P130" s="15"/>
    </row>
    <row r="131" spans="1:16" ht="19.5" customHeight="1">
      <c r="A131" s="26"/>
      <c r="B131" s="27"/>
      <c r="C131" s="30"/>
      <c r="D131" s="31">
        <f t="shared" si="27"/>
        <v>0</v>
      </c>
      <c r="E131" s="29"/>
      <c r="F131" s="29"/>
      <c r="G131" s="29"/>
      <c r="H131" s="29"/>
      <c r="I131" s="4"/>
      <c r="J131" s="29"/>
      <c r="K131" s="13" t="str">
        <f t="shared" si="28"/>
        <v/>
      </c>
      <c r="L131" s="29"/>
      <c r="M131" s="62"/>
      <c r="N131" s="14" t="e">
        <f>VLOOKUP(M131,コード!$A$2:$C$345,2,FALSE)</f>
        <v>#N/A</v>
      </c>
      <c r="O131" s="15">
        <f t="shared" si="26"/>
        <v>0</v>
      </c>
      <c r="P131" s="15"/>
    </row>
    <row r="132" spans="1:16" ht="19.5" customHeight="1">
      <c r="A132" s="26"/>
      <c r="B132" s="27"/>
      <c r="C132" s="30"/>
      <c r="D132" s="31">
        <f t="shared" si="27"/>
        <v>0</v>
      </c>
      <c r="E132" s="29"/>
      <c r="F132" s="29"/>
      <c r="G132" s="29"/>
      <c r="H132" s="29"/>
      <c r="I132" s="4"/>
      <c r="J132" s="29"/>
      <c r="K132" s="13" t="str">
        <f t="shared" ref="K132:K140" si="30">F132&amp;G132</f>
        <v/>
      </c>
      <c r="L132" s="29"/>
      <c r="M132" s="62"/>
      <c r="N132" s="14" t="e">
        <f>VLOOKUP(M132,コード!$A$2:$C$345,2,FALSE)</f>
        <v>#N/A</v>
      </c>
      <c r="O132" s="15">
        <f t="shared" si="26"/>
        <v>0</v>
      </c>
      <c r="P132" s="15"/>
    </row>
    <row r="133" spans="1:16" ht="19.5" customHeight="1">
      <c r="A133" s="26"/>
      <c r="B133" s="27"/>
      <c r="C133" s="30"/>
      <c r="D133" s="31">
        <f t="shared" si="27"/>
        <v>0</v>
      </c>
      <c r="E133" s="29"/>
      <c r="F133" s="29"/>
      <c r="G133" s="29"/>
      <c r="H133" s="29"/>
      <c r="I133" s="4"/>
      <c r="J133" s="29"/>
      <c r="K133" s="13" t="str">
        <f t="shared" si="30"/>
        <v/>
      </c>
      <c r="L133" s="29"/>
      <c r="M133" s="62"/>
      <c r="N133" s="14" t="e">
        <f>VLOOKUP(M133,コード!$A$2:$C$345,2,FALSE)</f>
        <v>#N/A</v>
      </c>
      <c r="O133" s="15">
        <f t="shared" si="26"/>
        <v>0</v>
      </c>
      <c r="P133" s="15"/>
    </row>
    <row r="134" spans="1:16" ht="19.5" customHeight="1">
      <c r="A134" s="26"/>
      <c r="B134" s="27"/>
      <c r="C134" s="30"/>
      <c r="D134" s="31">
        <f t="shared" si="27"/>
        <v>0</v>
      </c>
      <c r="E134" s="29"/>
      <c r="F134" s="29"/>
      <c r="G134" s="29"/>
      <c r="H134" s="29"/>
      <c r="I134" s="4"/>
      <c r="J134" s="29"/>
      <c r="K134" s="13" t="str">
        <f t="shared" si="30"/>
        <v/>
      </c>
      <c r="L134" s="29"/>
      <c r="M134" s="62"/>
      <c r="N134" s="14" t="e">
        <f>VLOOKUP(M134,コード!$A$2:$C$345,2,FALSE)</f>
        <v>#N/A</v>
      </c>
      <c r="O134" s="15">
        <f t="shared" si="26"/>
        <v>0</v>
      </c>
      <c r="P134" s="15"/>
    </row>
    <row r="135" spans="1:16" ht="19.5" customHeight="1">
      <c r="A135" s="26"/>
      <c r="B135" s="27"/>
      <c r="C135" s="30"/>
      <c r="D135" s="31">
        <f t="shared" si="27"/>
        <v>0</v>
      </c>
      <c r="E135" s="29"/>
      <c r="F135" s="29"/>
      <c r="G135" s="29"/>
      <c r="H135" s="29"/>
      <c r="I135" s="4"/>
      <c r="J135" s="29"/>
      <c r="K135" s="13" t="str">
        <f t="shared" si="30"/>
        <v/>
      </c>
      <c r="L135" s="29"/>
      <c r="M135" s="62"/>
      <c r="N135" s="14" t="e">
        <f>VLOOKUP(M135,コード!$A$2:$C$345,2,FALSE)</f>
        <v>#N/A</v>
      </c>
      <c r="O135" s="15">
        <f t="shared" si="26"/>
        <v>0</v>
      </c>
      <c r="P135" s="15"/>
    </row>
    <row r="136" spans="1:16" ht="19.5" customHeight="1">
      <c r="A136" s="26"/>
      <c r="B136" s="27"/>
      <c r="C136" s="30"/>
      <c r="D136" s="31">
        <f t="shared" si="27"/>
        <v>0</v>
      </c>
      <c r="E136" s="29"/>
      <c r="F136" s="29"/>
      <c r="G136" s="29"/>
      <c r="H136" s="29"/>
      <c r="I136" s="4"/>
      <c r="J136" s="29"/>
      <c r="K136" s="13" t="str">
        <f t="shared" si="30"/>
        <v/>
      </c>
      <c r="L136" s="29"/>
      <c r="M136" s="62"/>
      <c r="N136" s="14" t="e">
        <f>VLOOKUP(M136,コード!$A$2:$C$345,2,FALSE)</f>
        <v>#N/A</v>
      </c>
      <c r="O136" s="15">
        <f t="shared" si="26"/>
        <v>0</v>
      </c>
      <c r="P136" s="15"/>
    </row>
    <row r="137" spans="1:16" ht="19.5" customHeight="1">
      <c r="A137" s="26"/>
      <c r="B137" s="27"/>
      <c r="C137" s="30"/>
      <c r="D137" s="31">
        <f t="shared" si="27"/>
        <v>0</v>
      </c>
      <c r="E137" s="29"/>
      <c r="F137" s="29"/>
      <c r="G137" s="29"/>
      <c r="H137" s="29"/>
      <c r="I137" s="4"/>
      <c r="J137" s="29"/>
      <c r="K137" s="13" t="str">
        <f t="shared" si="30"/>
        <v/>
      </c>
      <c r="L137" s="29"/>
      <c r="M137" s="62"/>
      <c r="N137" s="14" t="e">
        <f>VLOOKUP(M137,コード!$A$2:$C$345,2,FALSE)</f>
        <v>#N/A</v>
      </c>
      <c r="O137" s="15">
        <f t="shared" si="26"/>
        <v>0</v>
      </c>
      <c r="P137" s="15"/>
    </row>
    <row r="138" spans="1:16" ht="19.5" customHeight="1">
      <c r="A138" s="26"/>
      <c r="B138" s="27"/>
      <c r="C138" s="30"/>
      <c r="D138" s="31">
        <f t="shared" si="27"/>
        <v>0</v>
      </c>
      <c r="E138" s="29"/>
      <c r="F138" s="29"/>
      <c r="G138" s="29"/>
      <c r="H138" s="29"/>
      <c r="I138" s="4"/>
      <c r="J138" s="29"/>
      <c r="K138" s="13" t="str">
        <f t="shared" si="30"/>
        <v/>
      </c>
      <c r="L138" s="29"/>
      <c r="M138" s="62"/>
      <c r="N138" s="14" t="e">
        <f>VLOOKUP(M138,コード!$A$2:$C$345,2,FALSE)</f>
        <v>#N/A</v>
      </c>
      <c r="O138" s="15">
        <f t="shared" si="26"/>
        <v>0</v>
      </c>
      <c r="P138" s="15"/>
    </row>
    <row r="139" spans="1:16" ht="19.5" customHeight="1">
      <c r="A139" s="26"/>
      <c r="B139" s="27"/>
      <c r="C139" s="30"/>
      <c r="D139" s="31">
        <f t="shared" si="27"/>
        <v>0</v>
      </c>
      <c r="E139" s="29"/>
      <c r="F139" s="29"/>
      <c r="G139" s="29"/>
      <c r="H139" s="29"/>
      <c r="I139" s="4"/>
      <c r="J139" s="29"/>
      <c r="K139" s="13" t="str">
        <f t="shared" si="30"/>
        <v/>
      </c>
      <c r="L139" s="29"/>
      <c r="M139" s="62"/>
      <c r="N139" s="14" t="e">
        <f>VLOOKUP(M139,コード!$A$2:$C$345,2,FALSE)</f>
        <v>#N/A</v>
      </c>
      <c r="O139" s="15">
        <f t="shared" si="26"/>
        <v>0</v>
      </c>
      <c r="P139" s="15"/>
    </row>
    <row r="140" spans="1:16" ht="19.5" customHeight="1">
      <c r="A140" s="26"/>
      <c r="B140" s="27"/>
      <c r="C140" s="30"/>
      <c r="D140" s="31">
        <f t="shared" si="27"/>
        <v>0</v>
      </c>
      <c r="E140" s="29"/>
      <c r="F140" s="29"/>
      <c r="G140" s="29"/>
      <c r="H140" s="29"/>
      <c r="I140" s="4"/>
      <c r="J140" s="29"/>
      <c r="K140" s="13" t="str">
        <f t="shared" si="30"/>
        <v/>
      </c>
      <c r="L140" s="29"/>
      <c r="M140" s="62"/>
      <c r="N140" s="14" t="e">
        <f>VLOOKUP(M140,コード!$A$2:$C$345,2,FALSE)</f>
        <v>#N/A</v>
      </c>
      <c r="O140" s="15">
        <f t="shared" si="26"/>
        <v>0</v>
      </c>
      <c r="P140" s="15"/>
    </row>
    <row r="141" spans="1:16" ht="19.5" customHeight="1">
      <c r="A141" s="26"/>
      <c r="B141" s="27"/>
      <c r="C141" s="30"/>
      <c r="D141" s="31">
        <f t="shared" si="27"/>
        <v>0</v>
      </c>
      <c r="E141" s="29"/>
      <c r="F141" s="29"/>
      <c r="G141" s="29"/>
      <c r="H141" s="29"/>
      <c r="I141" s="4"/>
      <c r="J141" s="29"/>
      <c r="K141" s="16" t="str">
        <f t="shared" si="25"/>
        <v/>
      </c>
      <c r="L141" s="29"/>
      <c r="M141" s="62"/>
      <c r="N141" s="14" t="e">
        <f>VLOOKUP(M141,コード!$A$2:$C$345,2,FALSE)</f>
        <v>#N/A</v>
      </c>
      <c r="O141" s="15">
        <f t="shared" si="26"/>
        <v>0</v>
      </c>
      <c r="P141" s="15"/>
    </row>
    <row r="142" spans="1:16" ht="19.5" customHeight="1">
      <c r="A142" s="26"/>
      <c r="B142" s="27"/>
      <c r="C142" s="30"/>
      <c r="D142" s="31">
        <f t="shared" si="27"/>
        <v>0</v>
      </c>
      <c r="E142" s="29"/>
      <c r="F142" s="29"/>
      <c r="G142" s="29"/>
      <c r="H142" s="29"/>
      <c r="I142" s="4"/>
      <c r="J142" s="29"/>
      <c r="K142" s="13" t="str">
        <f t="shared" si="25"/>
        <v/>
      </c>
      <c r="L142" s="29"/>
      <c r="M142" s="62"/>
      <c r="N142" s="14" t="e">
        <f>VLOOKUP(M142,コード!$A$2:$C$345,2,FALSE)</f>
        <v>#N/A</v>
      </c>
      <c r="O142" s="15">
        <f t="shared" si="26"/>
        <v>0</v>
      </c>
      <c r="P142" s="15"/>
    </row>
    <row r="143" spans="1:16" ht="19.5" customHeight="1">
      <c r="A143" s="26"/>
      <c r="B143" s="27"/>
      <c r="C143" s="30"/>
      <c r="D143" s="31">
        <f t="shared" si="27"/>
        <v>0</v>
      </c>
      <c r="E143" s="29"/>
      <c r="F143" s="29"/>
      <c r="G143" s="29"/>
      <c r="H143" s="29"/>
      <c r="I143" s="4"/>
      <c r="J143" s="29"/>
      <c r="K143" s="13" t="str">
        <f t="shared" ref="K143:K150" si="31">F143&amp;G143</f>
        <v/>
      </c>
      <c r="L143" s="29"/>
      <c r="M143" s="62"/>
      <c r="N143" s="14" t="e">
        <f>VLOOKUP(M143,コード!$A$2:$C$345,2,FALSE)</f>
        <v>#N/A</v>
      </c>
      <c r="O143" s="15">
        <f t="shared" si="26"/>
        <v>0</v>
      </c>
      <c r="P143" s="15"/>
    </row>
    <row r="144" spans="1:16" ht="19.5" customHeight="1">
      <c r="A144" s="26"/>
      <c r="B144" s="27"/>
      <c r="C144" s="30"/>
      <c r="D144" s="31">
        <f t="shared" si="27"/>
        <v>0</v>
      </c>
      <c r="E144" s="29"/>
      <c r="F144" s="29"/>
      <c r="G144" s="29"/>
      <c r="H144" s="29"/>
      <c r="I144" s="4"/>
      <c r="J144" s="29"/>
      <c r="K144" s="13" t="str">
        <f t="shared" si="31"/>
        <v/>
      </c>
      <c r="L144" s="29"/>
      <c r="M144" s="62"/>
      <c r="N144" s="14" t="e">
        <f>VLOOKUP(M144,コード!$A$2:$C$345,2,FALSE)</f>
        <v>#N/A</v>
      </c>
      <c r="O144" s="15">
        <f t="shared" si="26"/>
        <v>0</v>
      </c>
      <c r="P144" s="15"/>
    </row>
    <row r="145" spans="1:16" ht="19.5" customHeight="1">
      <c r="A145" s="26"/>
      <c r="B145" s="27"/>
      <c r="C145" s="30"/>
      <c r="D145" s="31">
        <f t="shared" si="27"/>
        <v>0</v>
      </c>
      <c r="E145" s="29"/>
      <c r="F145" s="29"/>
      <c r="G145" s="29"/>
      <c r="H145" s="29"/>
      <c r="I145" s="4"/>
      <c r="J145" s="29"/>
      <c r="K145" s="13" t="str">
        <f t="shared" si="31"/>
        <v/>
      </c>
      <c r="L145" s="29"/>
      <c r="M145" s="62"/>
      <c r="N145" s="14" t="e">
        <f>VLOOKUP(M145,コード!$A$2:$C$345,2,FALSE)</f>
        <v>#N/A</v>
      </c>
      <c r="O145" s="15">
        <f t="shared" si="26"/>
        <v>0</v>
      </c>
      <c r="P145" s="15"/>
    </row>
    <row r="146" spans="1:16" ht="19.5" customHeight="1">
      <c r="A146" s="26"/>
      <c r="B146" s="27"/>
      <c r="C146" s="30"/>
      <c r="D146" s="31">
        <f t="shared" si="27"/>
        <v>0</v>
      </c>
      <c r="E146" s="29"/>
      <c r="F146" s="29"/>
      <c r="G146" s="29"/>
      <c r="H146" s="29"/>
      <c r="I146" s="4"/>
      <c r="J146" s="29"/>
      <c r="K146" s="13" t="str">
        <f t="shared" si="31"/>
        <v/>
      </c>
      <c r="L146" s="29"/>
      <c r="M146" s="62"/>
      <c r="N146" s="14" t="e">
        <f>VLOOKUP(M146,コード!$A$2:$C$345,2,FALSE)</f>
        <v>#N/A</v>
      </c>
      <c r="O146" s="15">
        <f t="shared" si="26"/>
        <v>0</v>
      </c>
      <c r="P146" s="15"/>
    </row>
    <row r="147" spans="1:16" ht="19.5" customHeight="1">
      <c r="A147" s="26"/>
      <c r="B147" s="27"/>
      <c r="C147" s="30"/>
      <c r="D147" s="31">
        <f t="shared" si="27"/>
        <v>0</v>
      </c>
      <c r="E147" s="29"/>
      <c r="F147" s="29"/>
      <c r="G147" s="29"/>
      <c r="H147" s="29"/>
      <c r="I147" s="4"/>
      <c r="J147" s="29"/>
      <c r="K147" s="13" t="str">
        <f t="shared" si="31"/>
        <v/>
      </c>
      <c r="L147" s="29"/>
      <c r="M147" s="62"/>
      <c r="N147" s="14" t="e">
        <f>VLOOKUP(M147,コード!$A$2:$C$345,2,FALSE)</f>
        <v>#N/A</v>
      </c>
      <c r="O147" s="15">
        <f t="shared" si="26"/>
        <v>0</v>
      </c>
      <c r="P147" s="15"/>
    </row>
    <row r="148" spans="1:16" ht="19.5" customHeight="1">
      <c r="A148" s="26"/>
      <c r="B148" s="27"/>
      <c r="C148" s="30"/>
      <c r="D148" s="31">
        <f t="shared" si="27"/>
        <v>0</v>
      </c>
      <c r="E148" s="29"/>
      <c r="F148" s="29"/>
      <c r="G148" s="29"/>
      <c r="H148" s="29"/>
      <c r="I148" s="4"/>
      <c r="J148" s="29"/>
      <c r="K148" s="13" t="str">
        <f t="shared" si="31"/>
        <v/>
      </c>
      <c r="L148" s="29"/>
      <c r="M148" s="62"/>
      <c r="N148" s="14" t="e">
        <f>VLOOKUP(M148,コード!$A$2:$C$345,2,FALSE)</f>
        <v>#N/A</v>
      </c>
      <c r="O148" s="15">
        <f t="shared" si="26"/>
        <v>0</v>
      </c>
      <c r="P148" s="15"/>
    </row>
    <row r="149" spans="1:16" ht="19.5" customHeight="1">
      <c r="A149" s="26"/>
      <c r="B149" s="27"/>
      <c r="C149" s="30"/>
      <c r="D149" s="31">
        <f t="shared" si="27"/>
        <v>0</v>
      </c>
      <c r="E149" s="29"/>
      <c r="F149" s="29"/>
      <c r="G149" s="29"/>
      <c r="H149" s="29"/>
      <c r="I149" s="4"/>
      <c r="J149" s="29"/>
      <c r="K149" s="13" t="str">
        <f t="shared" si="31"/>
        <v/>
      </c>
      <c r="L149" s="29"/>
      <c r="M149" s="62"/>
      <c r="N149" s="14" t="e">
        <f>VLOOKUP(M149,コード!$A$2:$C$345,2,FALSE)</f>
        <v>#N/A</v>
      </c>
      <c r="O149" s="15">
        <f t="shared" si="26"/>
        <v>0</v>
      </c>
      <c r="P149" s="15"/>
    </row>
    <row r="150" spans="1:16" ht="19.5" customHeight="1">
      <c r="A150" s="26"/>
      <c r="B150" s="27"/>
      <c r="C150" s="30"/>
      <c r="D150" s="31">
        <f t="shared" si="27"/>
        <v>0</v>
      </c>
      <c r="E150" s="29"/>
      <c r="F150" s="29"/>
      <c r="G150" s="29"/>
      <c r="H150" s="29"/>
      <c r="I150" s="4"/>
      <c r="J150" s="29"/>
      <c r="K150" s="13" t="str">
        <f t="shared" si="31"/>
        <v/>
      </c>
      <c r="L150" s="29"/>
      <c r="M150" s="62"/>
      <c r="N150" s="14" t="e">
        <f>VLOOKUP(M150,コード!$A$2:$C$345,2,FALSE)</f>
        <v>#N/A</v>
      </c>
      <c r="O150" s="15">
        <f t="shared" si="26"/>
        <v>0</v>
      </c>
      <c r="P150" s="15"/>
    </row>
    <row r="151" spans="1:16" ht="19.5" customHeight="1">
      <c r="A151" s="26"/>
      <c r="B151" s="27"/>
      <c r="C151" s="30"/>
      <c r="D151" s="31">
        <f t="shared" si="27"/>
        <v>0</v>
      </c>
      <c r="E151" s="29"/>
      <c r="F151" s="29"/>
      <c r="G151" s="29"/>
      <c r="H151" s="29"/>
      <c r="I151" s="4"/>
      <c r="J151" s="29"/>
      <c r="K151" s="16" t="str">
        <f t="shared" si="25"/>
        <v/>
      </c>
      <c r="L151" s="29"/>
      <c r="M151" s="62"/>
      <c r="N151" s="14" t="e">
        <f>VLOOKUP(M151,コード!$A$2:$C$345,2,FALSE)</f>
        <v>#N/A</v>
      </c>
      <c r="O151" s="15">
        <f t="shared" si="26"/>
        <v>0</v>
      </c>
      <c r="P151" s="15"/>
    </row>
    <row r="152" spans="1:16" ht="19.5" customHeight="1">
      <c r="A152" s="26"/>
      <c r="B152" s="27"/>
      <c r="C152" s="30"/>
      <c r="D152" s="31">
        <f t="shared" ref="D152:D159" si="32">ROUNDUP((B152+C152)/8,3)</f>
        <v>0</v>
      </c>
      <c r="E152" s="29"/>
      <c r="F152" s="29"/>
      <c r="G152" s="29"/>
      <c r="H152" s="29"/>
      <c r="I152" s="4"/>
      <c r="J152" s="29"/>
      <c r="K152" s="13" t="str">
        <f t="shared" si="25"/>
        <v/>
      </c>
      <c r="L152" s="29"/>
      <c r="M152" s="62"/>
      <c r="N152" s="14" t="e">
        <f>VLOOKUP(M152,コード!$A$2:$C$345,2,FALSE)</f>
        <v>#N/A</v>
      </c>
      <c r="O152" s="15">
        <f t="shared" si="26"/>
        <v>0</v>
      </c>
      <c r="P152" s="15"/>
    </row>
    <row r="153" spans="1:16" ht="19.5" customHeight="1">
      <c r="A153" s="26"/>
      <c r="B153" s="27"/>
      <c r="C153" s="30"/>
      <c r="D153" s="31">
        <f t="shared" si="32"/>
        <v>0</v>
      </c>
      <c r="E153" s="29"/>
      <c r="F153" s="29"/>
      <c r="G153" s="29"/>
      <c r="H153" s="29"/>
      <c r="I153" s="4"/>
      <c r="J153" s="29"/>
      <c r="K153" s="13" t="str">
        <f t="shared" si="25"/>
        <v/>
      </c>
      <c r="L153" s="29"/>
      <c r="M153" s="62"/>
      <c r="N153" s="14" t="e">
        <f>VLOOKUP(M153,コード!$A$2:$C$345,2,FALSE)</f>
        <v>#N/A</v>
      </c>
      <c r="O153" s="15">
        <f t="shared" si="26"/>
        <v>0</v>
      </c>
      <c r="P153" s="15"/>
    </row>
    <row r="154" spans="1:16" ht="19.5" customHeight="1">
      <c r="A154" s="26"/>
      <c r="B154" s="27"/>
      <c r="C154" s="30"/>
      <c r="D154" s="31">
        <f t="shared" si="32"/>
        <v>0</v>
      </c>
      <c r="E154" s="29"/>
      <c r="F154" s="29"/>
      <c r="G154" s="29"/>
      <c r="H154" s="29"/>
      <c r="I154" s="4"/>
      <c r="J154" s="29"/>
      <c r="K154" s="13" t="str">
        <f t="shared" si="25"/>
        <v/>
      </c>
      <c r="L154" s="29"/>
      <c r="M154" s="62"/>
      <c r="N154" s="14" t="e">
        <f>VLOOKUP(M154,コード!$A$2:$C$345,2,FALSE)</f>
        <v>#N/A</v>
      </c>
      <c r="O154" s="15">
        <f t="shared" si="26"/>
        <v>0</v>
      </c>
      <c r="P154" s="15"/>
    </row>
    <row r="155" spans="1:16" ht="19.5" customHeight="1">
      <c r="A155" s="26"/>
      <c r="B155" s="27"/>
      <c r="C155" s="30"/>
      <c r="D155" s="31">
        <f t="shared" si="32"/>
        <v>0</v>
      </c>
      <c r="E155" s="29"/>
      <c r="F155" s="29"/>
      <c r="G155" s="29"/>
      <c r="H155" s="29"/>
      <c r="I155" s="4"/>
      <c r="J155" s="29"/>
      <c r="K155" s="13" t="str">
        <f t="shared" si="25"/>
        <v/>
      </c>
      <c r="L155" s="29"/>
      <c r="M155" s="62"/>
      <c r="N155" s="14" t="e">
        <f>VLOOKUP(M155,コード!$A$2:$C$345,2,FALSE)</f>
        <v>#N/A</v>
      </c>
      <c r="O155" s="15">
        <f t="shared" si="26"/>
        <v>0</v>
      </c>
      <c r="P155" s="15"/>
    </row>
    <row r="156" spans="1:16" ht="19.5" customHeight="1">
      <c r="A156" s="26"/>
      <c r="B156" s="27"/>
      <c r="C156" s="30"/>
      <c r="D156" s="31">
        <f t="shared" si="32"/>
        <v>0</v>
      </c>
      <c r="E156" s="29"/>
      <c r="F156" s="29"/>
      <c r="G156" s="29"/>
      <c r="H156" s="29"/>
      <c r="I156" s="4"/>
      <c r="J156" s="29"/>
      <c r="K156" s="13" t="str">
        <f t="shared" si="25"/>
        <v/>
      </c>
      <c r="L156" s="29"/>
      <c r="M156" s="62"/>
      <c r="N156" s="14" t="e">
        <f>VLOOKUP(M156,コード!$A$2:$C$345,2,FALSE)</f>
        <v>#N/A</v>
      </c>
      <c r="O156" s="15">
        <f t="shared" si="26"/>
        <v>0</v>
      </c>
      <c r="P156" s="15"/>
    </row>
    <row r="157" spans="1:16" ht="19.5" customHeight="1">
      <c r="A157" s="26"/>
      <c r="B157" s="27"/>
      <c r="C157" s="30"/>
      <c r="D157" s="31">
        <f t="shared" si="32"/>
        <v>0</v>
      </c>
      <c r="E157" s="29"/>
      <c r="F157" s="29"/>
      <c r="G157" s="29"/>
      <c r="H157" s="29"/>
      <c r="I157" s="4"/>
      <c r="J157" s="29"/>
      <c r="K157" s="13" t="str">
        <f t="shared" si="25"/>
        <v/>
      </c>
      <c r="L157" s="29"/>
      <c r="M157" s="62"/>
      <c r="N157" s="14" t="e">
        <f>VLOOKUP(M157,コード!$A$2:$C$345,2,FALSE)</f>
        <v>#N/A</v>
      </c>
      <c r="O157" s="15">
        <f t="shared" ref="O157:O220" si="33">I157</f>
        <v>0</v>
      </c>
      <c r="P157" s="15"/>
    </row>
    <row r="158" spans="1:16" ht="19.5" customHeight="1">
      <c r="A158" s="26"/>
      <c r="B158" s="27"/>
      <c r="C158" s="30"/>
      <c r="D158" s="31">
        <f t="shared" si="32"/>
        <v>0</v>
      </c>
      <c r="E158" s="29"/>
      <c r="F158" s="29"/>
      <c r="G158" s="29"/>
      <c r="H158" s="29"/>
      <c r="I158" s="4"/>
      <c r="J158" s="29"/>
      <c r="K158" s="13" t="str">
        <f t="shared" si="25"/>
        <v/>
      </c>
      <c r="L158" s="29"/>
      <c r="M158" s="62"/>
      <c r="N158" s="14" t="e">
        <f>VLOOKUP(M158,コード!$A$2:$C$345,2,FALSE)</f>
        <v>#N/A</v>
      </c>
      <c r="O158" s="15">
        <f t="shared" si="33"/>
        <v>0</v>
      </c>
      <c r="P158" s="15"/>
    </row>
    <row r="159" spans="1:16" ht="19.5" customHeight="1">
      <c r="A159" s="26"/>
      <c r="B159" s="27"/>
      <c r="C159" s="30"/>
      <c r="D159" s="31">
        <f t="shared" si="32"/>
        <v>0</v>
      </c>
      <c r="E159" s="29"/>
      <c r="F159" s="29"/>
      <c r="G159" s="29"/>
      <c r="H159" s="29"/>
      <c r="I159" s="4"/>
      <c r="J159" s="29"/>
      <c r="K159" s="13" t="str">
        <f t="shared" si="25"/>
        <v/>
      </c>
      <c r="L159" s="29"/>
      <c r="M159" s="62"/>
      <c r="N159" s="14" t="e">
        <f>VLOOKUP(M159,コード!$A$2:$C$345,2,FALSE)</f>
        <v>#N/A</v>
      </c>
      <c r="O159" s="15">
        <f t="shared" si="33"/>
        <v>0</v>
      </c>
      <c r="P159" s="15"/>
    </row>
    <row r="160" spans="1:16" ht="19.5" customHeight="1">
      <c r="A160" s="26"/>
      <c r="B160" s="27"/>
      <c r="C160" s="30"/>
      <c r="D160" s="31">
        <f t="shared" ref="D160:D220" si="34">ROUNDUP((B160+C160)/8,3)</f>
        <v>0</v>
      </c>
      <c r="E160" s="29"/>
      <c r="F160" s="29"/>
      <c r="G160" s="29"/>
      <c r="H160" s="29"/>
      <c r="I160" s="4"/>
      <c r="J160" s="29"/>
      <c r="K160" s="13" t="str">
        <f t="shared" ref="K160:K167" si="35">F160&amp;G160</f>
        <v/>
      </c>
      <c r="L160" s="29"/>
      <c r="M160" s="62"/>
      <c r="N160" s="14" t="e">
        <f>VLOOKUP(M160,コード!$A$2:$C$345,2,FALSE)</f>
        <v>#N/A</v>
      </c>
      <c r="O160" s="15">
        <f t="shared" si="33"/>
        <v>0</v>
      </c>
      <c r="P160" s="15"/>
    </row>
    <row r="161" spans="1:16" ht="19.5" customHeight="1">
      <c r="A161" s="26"/>
      <c r="B161" s="27"/>
      <c r="C161" s="30"/>
      <c r="D161" s="31">
        <f t="shared" si="34"/>
        <v>0</v>
      </c>
      <c r="E161" s="29"/>
      <c r="F161" s="29"/>
      <c r="G161" s="29"/>
      <c r="H161" s="29"/>
      <c r="I161" s="4"/>
      <c r="J161" s="29"/>
      <c r="K161" s="13" t="str">
        <f t="shared" si="35"/>
        <v/>
      </c>
      <c r="L161" s="29"/>
      <c r="M161" s="62"/>
      <c r="N161" s="14" t="e">
        <f>VLOOKUP(M161,コード!$A$2:$C$345,2,FALSE)</f>
        <v>#N/A</v>
      </c>
      <c r="O161" s="15">
        <f t="shared" si="33"/>
        <v>0</v>
      </c>
      <c r="P161" s="15"/>
    </row>
    <row r="162" spans="1:16" ht="19.5" customHeight="1">
      <c r="A162" s="26"/>
      <c r="B162" s="27"/>
      <c r="C162" s="30"/>
      <c r="D162" s="31">
        <f t="shared" si="34"/>
        <v>0</v>
      </c>
      <c r="E162" s="29"/>
      <c r="F162" s="29"/>
      <c r="G162" s="29"/>
      <c r="H162" s="29"/>
      <c r="I162" s="4"/>
      <c r="J162" s="29"/>
      <c r="K162" s="13" t="str">
        <f t="shared" si="35"/>
        <v/>
      </c>
      <c r="L162" s="29"/>
      <c r="M162" s="62"/>
      <c r="N162" s="14" t="e">
        <f>VLOOKUP(M162,コード!$A$2:$C$345,2,FALSE)</f>
        <v>#N/A</v>
      </c>
      <c r="O162" s="15">
        <f t="shared" si="33"/>
        <v>0</v>
      </c>
      <c r="P162" s="15"/>
    </row>
    <row r="163" spans="1:16" ht="19.5" customHeight="1">
      <c r="A163" s="26"/>
      <c r="B163" s="27"/>
      <c r="C163" s="30"/>
      <c r="D163" s="31">
        <f t="shared" si="34"/>
        <v>0</v>
      </c>
      <c r="E163" s="29"/>
      <c r="F163" s="29"/>
      <c r="G163" s="29"/>
      <c r="H163" s="29"/>
      <c r="I163" s="4"/>
      <c r="J163" s="29"/>
      <c r="K163" s="13" t="str">
        <f t="shared" si="35"/>
        <v/>
      </c>
      <c r="L163" s="29"/>
      <c r="M163" s="62"/>
      <c r="N163" s="14" t="e">
        <f>VLOOKUP(M163,コード!$A$2:$C$345,2,FALSE)</f>
        <v>#N/A</v>
      </c>
      <c r="O163" s="15">
        <f t="shared" si="33"/>
        <v>0</v>
      </c>
      <c r="P163" s="15"/>
    </row>
    <row r="164" spans="1:16" ht="19.5" customHeight="1">
      <c r="A164" s="26"/>
      <c r="B164" s="27"/>
      <c r="C164" s="30"/>
      <c r="D164" s="31">
        <f t="shared" si="34"/>
        <v>0</v>
      </c>
      <c r="E164" s="29"/>
      <c r="F164" s="29"/>
      <c r="G164" s="29"/>
      <c r="H164" s="29"/>
      <c r="I164" s="4"/>
      <c r="J164" s="29"/>
      <c r="K164" s="13" t="str">
        <f t="shared" si="35"/>
        <v/>
      </c>
      <c r="L164" s="29"/>
      <c r="M164" s="62"/>
      <c r="N164" s="14" t="e">
        <f>VLOOKUP(M164,コード!$A$2:$C$345,2,FALSE)</f>
        <v>#N/A</v>
      </c>
      <c r="O164" s="15">
        <f t="shared" si="33"/>
        <v>0</v>
      </c>
      <c r="P164" s="15"/>
    </row>
    <row r="165" spans="1:16" ht="19.5" customHeight="1">
      <c r="A165" s="26"/>
      <c r="B165" s="27"/>
      <c r="C165" s="30"/>
      <c r="D165" s="31">
        <f t="shared" si="34"/>
        <v>0</v>
      </c>
      <c r="E165" s="29"/>
      <c r="F165" s="29"/>
      <c r="G165" s="29"/>
      <c r="H165" s="29"/>
      <c r="I165" s="4"/>
      <c r="J165" s="29"/>
      <c r="K165" s="13" t="str">
        <f t="shared" si="35"/>
        <v/>
      </c>
      <c r="L165" s="29"/>
      <c r="M165" s="62"/>
      <c r="N165" s="14" t="e">
        <f>VLOOKUP(M165,コード!$A$2:$C$345,2,FALSE)</f>
        <v>#N/A</v>
      </c>
      <c r="O165" s="15">
        <f t="shared" si="33"/>
        <v>0</v>
      </c>
      <c r="P165" s="15"/>
    </row>
    <row r="166" spans="1:16" ht="19.5" customHeight="1">
      <c r="A166" s="26"/>
      <c r="B166" s="27"/>
      <c r="C166" s="30"/>
      <c r="D166" s="31">
        <f t="shared" si="34"/>
        <v>0</v>
      </c>
      <c r="E166" s="29"/>
      <c r="F166" s="29"/>
      <c r="G166" s="29"/>
      <c r="H166" s="29"/>
      <c r="I166" s="4"/>
      <c r="J166" s="29"/>
      <c r="K166" s="13" t="str">
        <f t="shared" si="35"/>
        <v/>
      </c>
      <c r="L166" s="29"/>
      <c r="M166" s="62"/>
      <c r="N166" s="14" t="e">
        <f>VLOOKUP(M166,コード!$A$2:$C$345,2,FALSE)</f>
        <v>#N/A</v>
      </c>
      <c r="O166" s="15">
        <f t="shared" si="33"/>
        <v>0</v>
      </c>
      <c r="P166" s="15"/>
    </row>
    <row r="167" spans="1:16" ht="19.5" customHeight="1">
      <c r="A167" s="26"/>
      <c r="B167" s="27"/>
      <c r="C167" s="30"/>
      <c r="D167" s="31">
        <f t="shared" si="34"/>
        <v>0</v>
      </c>
      <c r="E167" s="29"/>
      <c r="F167" s="29"/>
      <c r="G167" s="29"/>
      <c r="H167" s="29"/>
      <c r="I167" s="4"/>
      <c r="J167" s="29"/>
      <c r="K167" s="13" t="str">
        <f t="shared" si="35"/>
        <v/>
      </c>
      <c r="L167" s="29"/>
      <c r="M167" s="62"/>
      <c r="N167" s="14" t="e">
        <f>VLOOKUP(M167,コード!$A$2:$C$345,2,FALSE)</f>
        <v>#N/A</v>
      </c>
      <c r="O167" s="15">
        <f t="shared" si="33"/>
        <v>0</v>
      </c>
      <c r="P167" s="15"/>
    </row>
    <row r="168" spans="1:16" ht="19.5" customHeight="1">
      <c r="A168" s="26"/>
      <c r="B168" s="27"/>
      <c r="C168" s="30"/>
      <c r="D168" s="31">
        <f t="shared" si="34"/>
        <v>0</v>
      </c>
      <c r="E168" s="29"/>
      <c r="F168" s="29"/>
      <c r="G168" s="29"/>
      <c r="H168" s="29"/>
      <c r="I168" s="4"/>
      <c r="J168" s="29"/>
      <c r="K168" s="16" t="str">
        <f t="shared" ref="K168:K220" si="36">F168&amp;G168</f>
        <v/>
      </c>
      <c r="L168" s="29"/>
      <c r="M168" s="62"/>
      <c r="N168" s="14" t="e">
        <f>VLOOKUP(M168,コード!$A$2:$C$345,2,FALSE)</f>
        <v>#N/A</v>
      </c>
      <c r="O168" s="15">
        <f t="shared" si="33"/>
        <v>0</v>
      </c>
      <c r="P168" s="15"/>
    </row>
    <row r="169" spans="1:16" ht="19.5" customHeight="1">
      <c r="A169" s="26"/>
      <c r="B169" s="27"/>
      <c r="C169" s="30"/>
      <c r="D169" s="31">
        <f t="shared" si="34"/>
        <v>0</v>
      </c>
      <c r="E169" s="29"/>
      <c r="F169" s="29"/>
      <c r="G169" s="29"/>
      <c r="H169" s="29"/>
      <c r="I169" s="4"/>
      <c r="J169" s="29"/>
      <c r="K169" s="16" t="str">
        <f t="shared" ref="K169:K171" si="37">F169&amp;G169</f>
        <v/>
      </c>
      <c r="L169" s="29"/>
      <c r="M169" s="62"/>
      <c r="N169" s="14" t="e">
        <f>VLOOKUP(M169,コード!$A$2:$C$345,2,FALSE)</f>
        <v>#N/A</v>
      </c>
      <c r="O169" s="15">
        <f t="shared" si="33"/>
        <v>0</v>
      </c>
      <c r="P169" s="15"/>
    </row>
    <row r="170" spans="1:16" ht="19.5" customHeight="1">
      <c r="A170" s="26"/>
      <c r="B170" s="27"/>
      <c r="C170" s="30"/>
      <c r="D170" s="31">
        <f t="shared" si="34"/>
        <v>0</v>
      </c>
      <c r="E170" s="29"/>
      <c r="F170" s="29"/>
      <c r="G170" s="29"/>
      <c r="H170" s="29"/>
      <c r="I170" s="4"/>
      <c r="J170" s="29"/>
      <c r="K170" s="16" t="str">
        <f t="shared" si="37"/>
        <v/>
      </c>
      <c r="L170" s="29"/>
      <c r="M170" s="62"/>
      <c r="N170" s="14" t="e">
        <f>VLOOKUP(M170,コード!$A$2:$C$345,2,FALSE)</f>
        <v>#N/A</v>
      </c>
      <c r="O170" s="15">
        <f t="shared" si="33"/>
        <v>0</v>
      </c>
      <c r="P170" s="15"/>
    </row>
    <row r="171" spans="1:16" ht="19.5" customHeight="1">
      <c r="A171" s="26"/>
      <c r="B171" s="27"/>
      <c r="C171" s="30"/>
      <c r="D171" s="31">
        <f t="shared" si="34"/>
        <v>0</v>
      </c>
      <c r="E171" s="29"/>
      <c r="F171" s="29"/>
      <c r="G171" s="29"/>
      <c r="H171" s="29"/>
      <c r="I171" s="4"/>
      <c r="J171" s="29"/>
      <c r="K171" s="16" t="str">
        <f t="shared" si="37"/>
        <v/>
      </c>
      <c r="L171" s="29"/>
      <c r="M171" s="62"/>
      <c r="N171" s="14" t="e">
        <f>VLOOKUP(M171,コード!$A$2:$C$345,2,FALSE)</f>
        <v>#N/A</v>
      </c>
      <c r="O171" s="15">
        <f t="shared" si="33"/>
        <v>0</v>
      </c>
      <c r="P171" s="15"/>
    </row>
    <row r="172" spans="1:16" ht="19.5" customHeight="1">
      <c r="A172" s="26"/>
      <c r="B172" s="27"/>
      <c r="C172" s="30"/>
      <c r="D172" s="31">
        <f t="shared" si="34"/>
        <v>0</v>
      </c>
      <c r="E172" s="29"/>
      <c r="F172" s="29"/>
      <c r="G172" s="29"/>
      <c r="H172" s="29"/>
      <c r="I172" s="4"/>
      <c r="J172" s="29"/>
      <c r="K172" s="16" t="str">
        <f t="shared" si="36"/>
        <v/>
      </c>
      <c r="L172" s="29"/>
      <c r="M172" s="62"/>
      <c r="N172" s="14" t="e">
        <f>VLOOKUP(M172,コード!$A$2:$C$345,2,FALSE)</f>
        <v>#N/A</v>
      </c>
      <c r="O172" s="15">
        <f t="shared" si="33"/>
        <v>0</v>
      </c>
      <c r="P172" s="15"/>
    </row>
    <row r="173" spans="1:16" ht="19.5" customHeight="1">
      <c r="A173" s="26"/>
      <c r="B173" s="27"/>
      <c r="C173" s="30"/>
      <c r="D173" s="31">
        <f t="shared" si="34"/>
        <v>0</v>
      </c>
      <c r="E173" s="29"/>
      <c r="F173" s="29"/>
      <c r="G173" s="29"/>
      <c r="H173" s="29"/>
      <c r="I173" s="4"/>
      <c r="J173" s="29"/>
      <c r="K173" s="13" t="str">
        <f t="shared" si="36"/>
        <v/>
      </c>
      <c r="L173" s="29"/>
      <c r="M173" s="62"/>
      <c r="N173" s="14" t="e">
        <f>VLOOKUP(M173,コード!$A$2:$C$345,2,FALSE)</f>
        <v>#N/A</v>
      </c>
      <c r="O173" s="15">
        <f t="shared" si="33"/>
        <v>0</v>
      </c>
      <c r="P173" s="15"/>
    </row>
    <row r="174" spans="1:16" ht="19.5" customHeight="1">
      <c r="A174" s="26"/>
      <c r="B174" s="27"/>
      <c r="C174" s="30"/>
      <c r="D174" s="31">
        <f t="shared" si="34"/>
        <v>0</v>
      </c>
      <c r="E174" s="29"/>
      <c r="F174" s="29"/>
      <c r="G174" s="29"/>
      <c r="H174" s="29"/>
      <c r="I174" s="4"/>
      <c r="J174" s="29"/>
      <c r="K174" s="16" t="str">
        <f t="shared" si="36"/>
        <v/>
      </c>
      <c r="L174" s="29"/>
      <c r="M174" s="62"/>
      <c r="N174" s="14" t="e">
        <f>VLOOKUP(M174,コード!$A$2:$C$345,2,FALSE)</f>
        <v>#N/A</v>
      </c>
      <c r="O174" s="15">
        <f t="shared" si="33"/>
        <v>0</v>
      </c>
      <c r="P174" s="15"/>
    </row>
    <row r="175" spans="1:16" ht="19.5" customHeight="1">
      <c r="A175" s="26"/>
      <c r="B175" s="27"/>
      <c r="C175" s="30"/>
      <c r="D175" s="31">
        <f t="shared" si="34"/>
        <v>0</v>
      </c>
      <c r="E175" s="29"/>
      <c r="F175" s="29"/>
      <c r="G175" s="29"/>
      <c r="H175" s="29"/>
      <c r="I175" s="4"/>
      <c r="J175" s="29"/>
      <c r="K175" s="16" t="str">
        <f t="shared" si="36"/>
        <v/>
      </c>
      <c r="L175" s="29"/>
      <c r="M175" s="62"/>
      <c r="N175" s="14" t="e">
        <f>VLOOKUP(M175,コード!$A$2:$C$345,2,FALSE)</f>
        <v>#N/A</v>
      </c>
      <c r="O175" s="15">
        <f t="shared" si="33"/>
        <v>0</v>
      </c>
      <c r="P175" s="15"/>
    </row>
    <row r="176" spans="1:16" ht="19.5" customHeight="1">
      <c r="A176" s="26"/>
      <c r="B176" s="27"/>
      <c r="C176" s="30"/>
      <c r="D176" s="31">
        <f t="shared" si="34"/>
        <v>0</v>
      </c>
      <c r="E176" s="29"/>
      <c r="F176" s="29"/>
      <c r="G176" s="29"/>
      <c r="H176" s="29"/>
      <c r="I176" s="4"/>
      <c r="J176" s="29"/>
      <c r="K176" s="13" t="str">
        <f t="shared" si="36"/>
        <v/>
      </c>
      <c r="L176" s="29"/>
      <c r="M176" s="62"/>
      <c r="N176" s="14" t="e">
        <f>VLOOKUP(M176,コード!$A$2:$C$345,2,FALSE)</f>
        <v>#N/A</v>
      </c>
      <c r="O176" s="15">
        <f t="shared" si="33"/>
        <v>0</v>
      </c>
      <c r="P176" s="15"/>
    </row>
    <row r="177" spans="1:16" ht="19.5" customHeight="1">
      <c r="A177" s="26"/>
      <c r="B177" s="27"/>
      <c r="C177" s="30"/>
      <c r="D177" s="31">
        <f t="shared" si="34"/>
        <v>0</v>
      </c>
      <c r="E177" s="29"/>
      <c r="F177" s="29"/>
      <c r="G177" s="29"/>
      <c r="H177" s="29"/>
      <c r="I177" s="4"/>
      <c r="J177" s="29"/>
      <c r="K177" s="16" t="str">
        <f t="shared" si="36"/>
        <v/>
      </c>
      <c r="L177" s="29"/>
      <c r="M177" s="62"/>
      <c r="N177" s="14" t="e">
        <f>VLOOKUP(M177,コード!$A$2:$C$345,2,FALSE)</f>
        <v>#N/A</v>
      </c>
      <c r="O177" s="15">
        <f t="shared" si="33"/>
        <v>0</v>
      </c>
      <c r="P177" s="15"/>
    </row>
    <row r="178" spans="1:16" ht="19.5" customHeight="1">
      <c r="A178" s="26"/>
      <c r="B178" s="27"/>
      <c r="C178" s="30"/>
      <c r="D178" s="31">
        <f t="shared" si="34"/>
        <v>0</v>
      </c>
      <c r="E178" s="29"/>
      <c r="F178" s="29"/>
      <c r="G178" s="29"/>
      <c r="H178" s="29"/>
      <c r="I178" s="4"/>
      <c r="J178" s="29"/>
      <c r="K178" s="13" t="str">
        <f t="shared" ref="K178:K179" si="38">F178&amp;G178</f>
        <v/>
      </c>
      <c r="L178" s="29"/>
      <c r="M178" s="62"/>
      <c r="N178" s="14" t="e">
        <f>VLOOKUP(M178,コード!$A$2:$C$345,2,FALSE)</f>
        <v>#N/A</v>
      </c>
      <c r="O178" s="15">
        <f t="shared" si="33"/>
        <v>0</v>
      </c>
      <c r="P178" s="15"/>
    </row>
    <row r="179" spans="1:16" ht="19.5" customHeight="1">
      <c r="A179" s="26"/>
      <c r="B179" s="27"/>
      <c r="C179" s="30"/>
      <c r="D179" s="31">
        <f t="shared" si="34"/>
        <v>0</v>
      </c>
      <c r="E179" s="29"/>
      <c r="F179" s="29"/>
      <c r="G179" s="29"/>
      <c r="H179" s="29"/>
      <c r="I179" s="4"/>
      <c r="J179" s="29"/>
      <c r="K179" s="16" t="str">
        <f t="shared" si="38"/>
        <v/>
      </c>
      <c r="L179" s="29"/>
      <c r="M179" s="62"/>
      <c r="N179" s="14" t="e">
        <f>VLOOKUP(M179,コード!$A$2:$C$345,2,FALSE)</f>
        <v>#N/A</v>
      </c>
      <c r="O179" s="15">
        <f t="shared" si="33"/>
        <v>0</v>
      </c>
      <c r="P179" s="15"/>
    </row>
    <row r="180" spans="1:16" ht="19.5" customHeight="1">
      <c r="A180" s="26"/>
      <c r="B180" s="27"/>
      <c r="C180" s="30"/>
      <c r="D180" s="31">
        <f t="shared" si="34"/>
        <v>0</v>
      </c>
      <c r="E180" s="29"/>
      <c r="F180" s="29"/>
      <c r="G180" s="29"/>
      <c r="H180" s="29"/>
      <c r="I180" s="4"/>
      <c r="J180" s="29"/>
      <c r="K180" s="16" t="str">
        <f t="shared" si="36"/>
        <v/>
      </c>
      <c r="L180" s="29"/>
      <c r="M180" s="62"/>
      <c r="N180" s="14" t="e">
        <f>VLOOKUP(M180,コード!$A$2:$C$345,2,FALSE)</f>
        <v>#N/A</v>
      </c>
      <c r="O180" s="15">
        <f t="shared" si="33"/>
        <v>0</v>
      </c>
      <c r="P180" s="15"/>
    </row>
    <row r="181" spans="1:16" ht="19.5" customHeight="1">
      <c r="A181" s="26"/>
      <c r="B181" s="27"/>
      <c r="C181" s="30"/>
      <c r="D181" s="31">
        <f t="shared" si="34"/>
        <v>0</v>
      </c>
      <c r="E181" s="29"/>
      <c r="F181" s="29"/>
      <c r="G181" s="29"/>
      <c r="H181" s="29"/>
      <c r="I181" s="4"/>
      <c r="J181" s="29"/>
      <c r="K181" s="16" t="str">
        <f t="shared" si="36"/>
        <v/>
      </c>
      <c r="L181" s="29"/>
      <c r="M181" s="62"/>
      <c r="N181" s="14" t="e">
        <f>VLOOKUP(M181,コード!$A$2:$C$345,2,FALSE)</f>
        <v>#N/A</v>
      </c>
      <c r="O181" s="15">
        <f t="shared" si="33"/>
        <v>0</v>
      </c>
      <c r="P181" s="15"/>
    </row>
    <row r="182" spans="1:16" ht="19.5" customHeight="1">
      <c r="A182" s="26"/>
      <c r="B182" s="27"/>
      <c r="C182" s="30"/>
      <c r="D182" s="31">
        <f t="shared" si="34"/>
        <v>0</v>
      </c>
      <c r="E182" s="29"/>
      <c r="F182" s="29"/>
      <c r="G182" s="29"/>
      <c r="H182" s="29"/>
      <c r="I182" s="4"/>
      <c r="J182" s="29"/>
      <c r="K182" s="16" t="str">
        <f t="shared" si="36"/>
        <v/>
      </c>
      <c r="L182" s="29"/>
      <c r="M182" s="62"/>
      <c r="N182" s="14" t="e">
        <f>VLOOKUP(M182,コード!$A$2:$C$345,2,FALSE)</f>
        <v>#N/A</v>
      </c>
      <c r="O182" s="15">
        <f t="shared" si="33"/>
        <v>0</v>
      </c>
      <c r="P182" s="15"/>
    </row>
    <row r="183" spans="1:16" ht="19.5" customHeight="1">
      <c r="A183" s="26"/>
      <c r="B183" s="27"/>
      <c r="C183" s="30"/>
      <c r="D183" s="31">
        <f t="shared" si="34"/>
        <v>0</v>
      </c>
      <c r="E183" s="29"/>
      <c r="F183" s="29"/>
      <c r="G183" s="29"/>
      <c r="H183" s="29"/>
      <c r="I183" s="4"/>
      <c r="J183" s="29"/>
      <c r="K183" s="16" t="str">
        <f t="shared" si="36"/>
        <v/>
      </c>
      <c r="L183" s="29"/>
      <c r="M183" s="62"/>
      <c r="N183" s="14" t="e">
        <f>VLOOKUP(M183,コード!$A$2:$C$345,2,FALSE)</f>
        <v>#N/A</v>
      </c>
      <c r="O183" s="15">
        <f t="shared" si="33"/>
        <v>0</v>
      </c>
      <c r="P183" s="15"/>
    </row>
    <row r="184" spans="1:16" ht="19.5" customHeight="1">
      <c r="A184" s="26"/>
      <c r="B184" s="27"/>
      <c r="C184" s="30"/>
      <c r="D184" s="31">
        <f t="shared" si="34"/>
        <v>0</v>
      </c>
      <c r="E184" s="29"/>
      <c r="F184" s="29"/>
      <c r="G184" s="29"/>
      <c r="H184" s="29"/>
      <c r="I184" s="4"/>
      <c r="J184" s="29"/>
      <c r="K184" s="16" t="str">
        <f t="shared" si="36"/>
        <v/>
      </c>
      <c r="L184" s="29"/>
      <c r="M184" s="62"/>
      <c r="N184" s="14" t="e">
        <f>VLOOKUP(M184,コード!$A$2:$C$345,2,FALSE)</f>
        <v>#N/A</v>
      </c>
      <c r="O184" s="15">
        <f t="shared" si="33"/>
        <v>0</v>
      </c>
      <c r="P184" s="15"/>
    </row>
    <row r="185" spans="1:16" ht="19.5" customHeight="1">
      <c r="A185" s="26"/>
      <c r="B185" s="27"/>
      <c r="C185" s="30"/>
      <c r="D185" s="31">
        <f t="shared" si="34"/>
        <v>0</v>
      </c>
      <c r="E185" s="29"/>
      <c r="F185" s="29"/>
      <c r="G185" s="29"/>
      <c r="H185" s="29"/>
      <c r="I185" s="4"/>
      <c r="J185" s="29"/>
      <c r="K185" s="16" t="str">
        <f t="shared" si="36"/>
        <v/>
      </c>
      <c r="L185" s="29"/>
      <c r="M185" s="62"/>
      <c r="N185" s="14" t="e">
        <f>VLOOKUP(M185,コード!$A$2:$C$345,2,FALSE)</f>
        <v>#N/A</v>
      </c>
      <c r="O185" s="15">
        <f t="shared" si="33"/>
        <v>0</v>
      </c>
      <c r="P185" s="15"/>
    </row>
    <row r="186" spans="1:16" ht="19.5" customHeight="1">
      <c r="A186" s="26"/>
      <c r="B186" s="27"/>
      <c r="C186" s="30"/>
      <c r="D186" s="31">
        <f t="shared" si="34"/>
        <v>0</v>
      </c>
      <c r="E186" s="29"/>
      <c r="F186" s="29"/>
      <c r="G186" s="29"/>
      <c r="H186" s="29"/>
      <c r="I186" s="4"/>
      <c r="J186" s="29"/>
      <c r="K186" s="16" t="str">
        <f t="shared" si="36"/>
        <v/>
      </c>
      <c r="L186" s="29"/>
      <c r="M186" s="62"/>
      <c r="N186" s="14" t="e">
        <f>VLOOKUP(M186,コード!$A$2:$C$345,2,FALSE)</f>
        <v>#N/A</v>
      </c>
      <c r="O186" s="15">
        <f t="shared" si="33"/>
        <v>0</v>
      </c>
      <c r="P186" s="15"/>
    </row>
    <row r="187" spans="1:16" ht="19.5" customHeight="1">
      <c r="A187" s="26"/>
      <c r="B187" s="27"/>
      <c r="C187" s="30"/>
      <c r="D187" s="31">
        <f t="shared" si="34"/>
        <v>0</v>
      </c>
      <c r="E187" s="29"/>
      <c r="F187" s="29"/>
      <c r="G187" s="29"/>
      <c r="H187" s="29"/>
      <c r="I187" s="4"/>
      <c r="J187" s="29"/>
      <c r="K187" s="16" t="str">
        <f t="shared" si="36"/>
        <v/>
      </c>
      <c r="L187" s="29"/>
      <c r="M187" s="62"/>
      <c r="N187" s="14" t="e">
        <f>VLOOKUP(M187,コード!$A$2:$C$345,2,FALSE)</f>
        <v>#N/A</v>
      </c>
      <c r="O187" s="15">
        <f t="shared" si="33"/>
        <v>0</v>
      </c>
      <c r="P187" s="15"/>
    </row>
    <row r="188" spans="1:16" ht="19.5" customHeight="1">
      <c r="A188" s="26"/>
      <c r="B188" s="27"/>
      <c r="C188" s="30"/>
      <c r="D188" s="31">
        <f t="shared" si="34"/>
        <v>0</v>
      </c>
      <c r="E188" s="29"/>
      <c r="F188" s="29"/>
      <c r="G188" s="29"/>
      <c r="H188" s="29"/>
      <c r="I188" s="4"/>
      <c r="J188" s="29"/>
      <c r="K188" s="16" t="str">
        <f t="shared" si="36"/>
        <v/>
      </c>
      <c r="L188" s="29"/>
      <c r="M188" s="62"/>
      <c r="N188" s="14" t="e">
        <f>VLOOKUP(M188,コード!$A$2:$C$345,2,FALSE)</f>
        <v>#N/A</v>
      </c>
      <c r="O188" s="15">
        <f t="shared" si="33"/>
        <v>0</v>
      </c>
      <c r="P188" s="15"/>
    </row>
    <row r="189" spans="1:16" ht="19.5" customHeight="1">
      <c r="A189" s="26"/>
      <c r="B189" s="27"/>
      <c r="C189" s="30"/>
      <c r="D189" s="31">
        <f t="shared" si="34"/>
        <v>0</v>
      </c>
      <c r="E189" s="29"/>
      <c r="F189" s="29"/>
      <c r="G189" s="29"/>
      <c r="H189" s="29"/>
      <c r="I189" s="4"/>
      <c r="J189" s="29"/>
      <c r="K189" s="16" t="str">
        <f t="shared" si="36"/>
        <v/>
      </c>
      <c r="L189" s="29"/>
      <c r="M189" s="62"/>
      <c r="N189" s="14" t="e">
        <f>VLOOKUP(M189,コード!$A$2:$C$345,2,FALSE)</f>
        <v>#N/A</v>
      </c>
      <c r="O189" s="15">
        <f t="shared" si="33"/>
        <v>0</v>
      </c>
      <c r="P189" s="15"/>
    </row>
    <row r="190" spans="1:16" ht="19.5" customHeight="1">
      <c r="A190" s="26"/>
      <c r="B190" s="27"/>
      <c r="C190" s="30"/>
      <c r="D190" s="31">
        <f t="shared" si="34"/>
        <v>0</v>
      </c>
      <c r="E190" s="29"/>
      <c r="F190" s="29"/>
      <c r="G190" s="29"/>
      <c r="H190" s="29"/>
      <c r="I190" s="4"/>
      <c r="J190" s="29"/>
      <c r="K190" s="16" t="str">
        <f t="shared" si="36"/>
        <v/>
      </c>
      <c r="L190" s="29"/>
      <c r="M190" s="62"/>
      <c r="N190" s="14" t="e">
        <f>VLOOKUP(M190,コード!$A$2:$C$345,2,FALSE)</f>
        <v>#N/A</v>
      </c>
      <c r="O190" s="15">
        <f t="shared" si="33"/>
        <v>0</v>
      </c>
      <c r="P190" s="15"/>
    </row>
    <row r="191" spans="1:16" ht="19.5" customHeight="1">
      <c r="A191" s="26"/>
      <c r="B191" s="27"/>
      <c r="C191" s="30"/>
      <c r="D191" s="31">
        <f t="shared" si="34"/>
        <v>0</v>
      </c>
      <c r="E191" s="29"/>
      <c r="F191" s="29"/>
      <c r="G191" s="29"/>
      <c r="H191" s="29"/>
      <c r="I191" s="4"/>
      <c r="J191" s="29"/>
      <c r="K191" s="16" t="str">
        <f t="shared" si="36"/>
        <v/>
      </c>
      <c r="L191" s="29"/>
      <c r="M191" s="62"/>
      <c r="N191" s="14" t="e">
        <f>VLOOKUP(M191,コード!$A$2:$C$345,2,FALSE)</f>
        <v>#N/A</v>
      </c>
      <c r="O191" s="15">
        <f t="shared" si="33"/>
        <v>0</v>
      </c>
      <c r="P191" s="15"/>
    </row>
    <row r="192" spans="1:16" ht="19.5" customHeight="1">
      <c r="A192" s="26"/>
      <c r="B192" s="27"/>
      <c r="C192" s="30"/>
      <c r="D192" s="31">
        <f t="shared" si="34"/>
        <v>0</v>
      </c>
      <c r="E192" s="29"/>
      <c r="F192" s="29"/>
      <c r="G192" s="29"/>
      <c r="H192" s="29"/>
      <c r="I192" s="4"/>
      <c r="J192" s="29"/>
      <c r="K192" s="16" t="str">
        <f t="shared" si="36"/>
        <v/>
      </c>
      <c r="L192" s="29"/>
      <c r="M192" s="62"/>
      <c r="N192" s="14" t="e">
        <f>VLOOKUP(M192,コード!$A$2:$C$345,2,FALSE)</f>
        <v>#N/A</v>
      </c>
      <c r="O192" s="15">
        <f t="shared" si="33"/>
        <v>0</v>
      </c>
      <c r="P192" s="15"/>
    </row>
    <row r="193" spans="1:16" ht="19.5" customHeight="1">
      <c r="A193" s="26"/>
      <c r="B193" s="27"/>
      <c r="C193" s="30"/>
      <c r="D193" s="31">
        <f t="shared" si="34"/>
        <v>0</v>
      </c>
      <c r="E193" s="29"/>
      <c r="F193" s="29"/>
      <c r="G193" s="29"/>
      <c r="H193" s="29"/>
      <c r="I193" s="4"/>
      <c r="J193" s="29"/>
      <c r="K193" s="16" t="str">
        <f t="shared" si="36"/>
        <v/>
      </c>
      <c r="L193" s="29"/>
      <c r="M193" s="62"/>
      <c r="N193" s="14" t="e">
        <f>VLOOKUP(M193,コード!$A$2:$C$345,2,FALSE)</f>
        <v>#N/A</v>
      </c>
      <c r="O193" s="15">
        <f t="shared" si="33"/>
        <v>0</v>
      </c>
      <c r="P193" s="15"/>
    </row>
    <row r="194" spans="1:16" ht="19.5" customHeight="1">
      <c r="A194" s="26"/>
      <c r="B194" s="27"/>
      <c r="C194" s="30"/>
      <c r="D194" s="31">
        <f t="shared" si="34"/>
        <v>0</v>
      </c>
      <c r="E194" s="29"/>
      <c r="F194" s="29"/>
      <c r="G194" s="29"/>
      <c r="H194" s="29"/>
      <c r="I194" s="4"/>
      <c r="J194" s="29"/>
      <c r="K194" s="16" t="str">
        <f t="shared" si="36"/>
        <v/>
      </c>
      <c r="L194" s="29"/>
      <c r="M194" s="62"/>
      <c r="N194" s="14" t="e">
        <f>VLOOKUP(M194,コード!$A$2:$C$345,2,FALSE)</f>
        <v>#N/A</v>
      </c>
      <c r="O194" s="15">
        <f t="shared" si="33"/>
        <v>0</v>
      </c>
      <c r="P194" s="15"/>
    </row>
    <row r="195" spans="1:16" ht="19.5" customHeight="1">
      <c r="A195" s="26"/>
      <c r="B195" s="27"/>
      <c r="C195" s="30"/>
      <c r="D195" s="31">
        <f t="shared" si="34"/>
        <v>0</v>
      </c>
      <c r="E195" s="29"/>
      <c r="F195" s="29"/>
      <c r="G195" s="29"/>
      <c r="H195" s="29"/>
      <c r="I195" s="4"/>
      <c r="J195" s="29"/>
      <c r="K195" s="16" t="str">
        <f t="shared" si="36"/>
        <v/>
      </c>
      <c r="L195" s="29"/>
      <c r="M195" s="62"/>
      <c r="N195" s="14" t="e">
        <f>VLOOKUP(M195,コード!$A$2:$C$345,2,FALSE)</f>
        <v>#N/A</v>
      </c>
      <c r="O195" s="15">
        <f t="shared" si="33"/>
        <v>0</v>
      </c>
      <c r="P195" s="15"/>
    </row>
    <row r="196" spans="1:16" ht="19.5" customHeight="1">
      <c r="A196" s="26"/>
      <c r="B196" s="27"/>
      <c r="C196" s="30"/>
      <c r="D196" s="31">
        <f t="shared" si="34"/>
        <v>0</v>
      </c>
      <c r="E196" s="29"/>
      <c r="F196" s="29"/>
      <c r="G196" s="29"/>
      <c r="H196" s="29"/>
      <c r="I196" s="4"/>
      <c r="J196" s="29"/>
      <c r="K196" s="16" t="str">
        <f t="shared" si="36"/>
        <v/>
      </c>
      <c r="L196" s="29"/>
      <c r="M196" s="62"/>
      <c r="N196" s="14" t="e">
        <f>VLOOKUP(M196,コード!$A$2:$C$345,2,FALSE)</f>
        <v>#N/A</v>
      </c>
      <c r="O196" s="15">
        <f t="shared" si="33"/>
        <v>0</v>
      </c>
      <c r="P196" s="15"/>
    </row>
    <row r="197" spans="1:16" ht="19.5" customHeight="1">
      <c r="A197" s="26"/>
      <c r="B197" s="27"/>
      <c r="C197" s="30"/>
      <c r="D197" s="31">
        <f t="shared" si="34"/>
        <v>0</v>
      </c>
      <c r="E197" s="29"/>
      <c r="F197" s="29"/>
      <c r="G197" s="29"/>
      <c r="H197" s="29"/>
      <c r="I197" s="4"/>
      <c r="J197" s="29"/>
      <c r="K197" s="16" t="str">
        <f t="shared" si="36"/>
        <v/>
      </c>
      <c r="L197" s="29"/>
      <c r="M197" s="62"/>
      <c r="N197" s="14" t="e">
        <f>VLOOKUP(M197,コード!$A$2:$C$345,2,FALSE)</f>
        <v>#N/A</v>
      </c>
      <c r="O197" s="15">
        <f t="shared" si="33"/>
        <v>0</v>
      </c>
      <c r="P197" s="15"/>
    </row>
    <row r="198" spans="1:16" ht="19.5" customHeight="1">
      <c r="A198" s="26"/>
      <c r="B198" s="27"/>
      <c r="C198" s="30"/>
      <c r="D198" s="31">
        <f t="shared" si="34"/>
        <v>0</v>
      </c>
      <c r="E198" s="29"/>
      <c r="F198" s="29"/>
      <c r="G198" s="29"/>
      <c r="H198" s="29"/>
      <c r="I198" s="4"/>
      <c r="J198" s="29"/>
      <c r="K198" s="16" t="str">
        <f t="shared" si="36"/>
        <v/>
      </c>
      <c r="L198" s="29"/>
      <c r="M198" s="62"/>
      <c r="N198" s="14" t="e">
        <f>VLOOKUP(M198,コード!$A$2:$C$345,2,FALSE)</f>
        <v>#N/A</v>
      </c>
      <c r="O198" s="15">
        <f t="shared" si="33"/>
        <v>0</v>
      </c>
      <c r="P198" s="15"/>
    </row>
    <row r="199" spans="1:16" ht="19.5" customHeight="1">
      <c r="A199" s="26"/>
      <c r="B199" s="27"/>
      <c r="C199" s="30"/>
      <c r="D199" s="31">
        <f t="shared" si="34"/>
        <v>0</v>
      </c>
      <c r="E199" s="29"/>
      <c r="F199" s="29"/>
      <c r="G199" s="29"/>
      <c r="H199" s="29"/>
      <c r="I199" s="4"/>
      <c r="J199" s="29"/>
      <c r="K199" s="16" t="str">
        <f t="shared" si="36"/>
        <v/>
      </c>
      <c r="L199" s="29"/>
      <c r="M199" s="62"/>
      <c r="N199" s="14" t="e">
        <f>VLOOKUP(M199,コード!$A$2:$C$345,2,FALSE)</f>
        <v>#N/A</v>
      </c>
      <c r="O199" s="15">
        <f t="shared" si="33"/>
        <v>0</v>
      </c>
      <c r="P199" s="15"/>
    </row>
    <row r="200" spans="1:16" ht="19.5" customHeight="1">
      <c r="A200" s="26"/>
      <c r="B200" s="27"/>
      <c r="C200" s="30"/>
      <c r="D200" s="31">
        <f t="shared" si="34"/>
        <v>0</v>
      </c>
      <c r="E200" s="29"/>
      <c r="F200" s="29"/>
      <c r="G200" s="29"/>
      <c r="H200" s="29"/>
      <c r="I200" s="4"/>
      <c r="J200" s="29"/>
      <c r="K200" s="16" t="str">
        <f t="shared" si="36"/>
        <v/>
      </c>
      <c r="L200" s="29"/>
      <c r="M200" s="62"/>
      <c r="N200" s="14" t="e">
        <f>VLOOKUP(M200,コード!$A$2:$C$345,2,FALSE)</f>
        <v>#N/A</v>
      </c>
      <c r="O200" s="15">
        <f t="shared" si="33"/>
        <v>0</v>
      </c>
      <c r="P200" s="15"/>
    </row>
    <row r="201" spans="1:16" ht="19.5" customHeight="1">
      <c r="A201" s="26"/>
      <c r="B201" s="27"/>
      <c r="C201" s="30"/>
      <c r="D201" s="31">
        <f t="shared" si="34"/>
        <v>0</v>
      </c>
      <c r="E201" s="29"/>
      <c r="F201" s="29"/>
      <c r="G201" s="29"/>
      <c r="H201" s="29"/>
      <c r="I201" s="4"/>
      <c r="J201" s="29"/>
      <c r="K201" s="16" t="str">
        <f t="shared" si="36"/>
        <v/>
      </c>
      <c r="L201" s="29"/>
      <c r="M201" s="62"/>
      <c r="N201" s="14" t="e">
        <f>VLOOKUP(M201,コード!$A$2:$C$345,2,FALSE)</f>
        <v>#N/A</v>
      </c>
      <c r="O201" s="15">
        <f t="shared" si="33"/>
        <v>0</v>
      </c>
      <c r="P201" s="15"/>
    </row>
    <row r="202" spans="1:16" ht="19.5" customHeight="1">
      <c r="A202" s="26"/>
      <c r="B202" s="27"/>
      <c r="C202" s="30"/>
      <c r="D202" s="31">
        <f t="shared" si="34"/>
        <v>0</v>
      </c>
      <c r="E202" s="29"/>
      <c r="F202" s="29"/>
      <c r="G202" s="29"/>
      <c r="H202" s="29"/>
      <c r="I202" s="4"/>
      <c r="J202" s="29"/>
      <c r="K202" s="16" t="str">
        <f t="shared" si="36"/>
        <v/>
      </c>
      <c r="L202" s="29"/>
      <c r="M202" s="62"/>
      <c r="N202" s="14" t="e">
        <f>VLOOKUP(M202,コード!$A$2:$C$345,2,FALSE)</f>
        <v>#N/A</v>
      </c>
      <c r="O202" s="15">
        <f t="shared" si="33"/>
        <v>0</v>
      </c>
      <c r="P202" s="15"/>
    </row>
    <row r="203" spans="1:16" ht="19.5" customHeight="1">
      <c r="A203" s="26"/>
      <c r="B203" s="27"/>
      <c r="C203" s="30"/>
      <c r="D203" s="31">
        <f t="shared" si="34"/>
        <v>0</v>
      </c>
      <c r="E203" s="29"/>
      <c r="F203" s="29"/>
      <c r="G203" s="29"/>
      <c r="H203" s="29"/>
      <c r="I203" s="4"/>
      <c r="J203" s="29"/>
      <c r="K203" s="16" t="str">
        <f t="shared" si="36"/>
        <v/>
      </c>
      <c r="L203" s="29"/>
      <c r="M203" s="62"/>
      <c r="N203" s="14" t="e">
        <f>VLOOKUP(M203,コード!$A$2:$C$345,2,FALSE)</f>
        <v>#N/A</v>
      </c>
      <c r="O203" s="15">
        <f t="shared" si="33"/>
        <v>0</v>
      </c>
      <c r="P203" s="15"/>
    </row>
    <row r="204" spans="1:16" ht="19.5" customHeight="1">
      <c r="A204" s="26"/>
      <c r="B204" s="27"/>
      <c r="C204" s="30"/>
      <c r="D204" s="31">
        <f t="shared" si="34"/>
        <v>0</v>
      </c>
      <c r="E204" s="29"/>
      <c r="F204" s="29"/>
      <c r="G204" s="29"/>
      <c r="H204" s="29"/>
      <c r="I204" s="4"/>
      <c r="J204" s="29"/>
      <c r="K204" s="16" t="str">
        <f t="shared" si="36"/>
        <v/>
      </c>
      <c r="L204" s="29"/>
      <c r="M204" s="62"/>
      <c r="N204" s="14" t="e">
        <f>VLOOKUP(M204,コード!$A$2:$C$345,2,FALSE)</f>
        <v>#N/A</v>
      </c>
      <c r="O204" s="15">
        <f t="shared" si="33"/>
        <v>0</v>
      </c>
      <c r="P204" s="15"/>
    </row>
    <row r="205" spans="1:16" ht="19.5" customHeight="1">
      <c r="A205" s="26"/>
      <c r="B205" s="27"/>
      <c r="C205" s="30"/>
      <c r="D205" s="31">
        <f t="shared" si="34"/>
        <v>0</v>
      </c>
      <c r="E205" s="29"/>
      <c r="F205" s="29"/>
      <c r="G205" s="29"/>
      <c r="H205" s="29"/>
      <c r="I205" s="4"/>
      <c r="J205" s="29"/>
      <c r="K205" s="16" t="str">
        <f t="shared" si="36"/>
        <v/>
      </c>
      <c r="L205" s="29"/>
      <c r="M205" s="62"/>
      <c r="N205" s="14" t="e">
        <f>VLOOKUP(M205,コード!$A$2:$C$345,2,FALSE)</f>
        <v>#N/A</v>
      </c>
      <c r="O205" s="15">
        <f t="shared" si="33"/>
        <v>0</v>
      </c>
      <c r="P205" s="15"/>
    </row>
    <row r="206" spans="1:16" ht="19.5" customHeight="1">
      <c r="A206" s="26"/>
      <c r="B206" s="27"/>
      <c r="C206" s="30"/>
      <c r="D206" s="31">
        <f t="shared" si="34"/>
        <v>0</v>
      </c>
      <c r="E206" s="29"/>
      <c r="F206" s="29"/>
      <c r="G206" s="29"/>
      <c r="H206" s="29"/>
      <c r="I206" s="4"/>
      <c r="J206" s="29"/>
      <c r="K206" s="16" t="str">
        <f t="shared" si="36"/>
        <v/>
      </c>
      <c r="L206" s="29"/>
      <c r="M206" s="62"/>
      <c r="N206" s="14" t="e">
        <f>VLOOKUP(M206,コード!$A$2:$C$345,2,FALSE)</f>
        <v>#N/A</v>
      </c>
      <c r="O206" s="15">
        <f t="shared" si="33"/>
        <v>0</v>
      </c>
      <c r="P206" s="15"/>
    </row>
    <row r="207" spans="1:16" ht="19.5" customHeight="1">
      <c r="A207" s="26"/>
      <c r="B207" s="27"/>
      <c r="C207" s="30"/>
      <c r="D207" s="31">
        <f t="shared" si="34"/>
        <v>0</v>
      </c>
      <c r="E207" s="29"/>
      <c r="F207" s="29"/>
      <c r="G207" s="29"/>
      <c r="H207" s="29"/>
      <c r="I207" s="4"/>
      <c r="J207" s="29"/>
      <c r="K207" s="16" t="str">
        <f t="shared" si="36"/>
        <v/>
      </c>
      <c r="L207" s="29"/>
      <c r="M207" s="62"/>
      <c r="N207" s="14" t="e">
        <f>VLOOKUP(M207,コード!$A$2:$C$345,2,FALSE)</f>
        <v>#N/A</v>
      </c>
      <c r="O207" s="15">
        <f t="shared" si="33"/>
        <v>0</v>
      </c>
      <c r="P207" s="15"/>
    </row>
    <row r="208" spans="1:16" ht="19.5" customHeight="1">
      <c r="A208" s="26"/>
      <c r="B208" s="27"/>
      <c r="C208" s="30"/>
      <c r="D208" s="31">
        <f t="shared" si="34"/>
        <v>0</v>
      </c>
      <c r="E208" s="29"/>
      <c r="F208" s="29"/>
      <c r="G208" s="29"/>
      <c r="H208" s="29"/>
      <c r="I208" s="4"/>
      <c r="J208" s="29"/>
      <c r="K208" s="16" t="str">
        <f t="shared" si="36"/>
        <v/>
      </c>
      <c r="L208" s="29"/>
      <c r="M208" s="62"/>
      <c r="N208" s="14" t="e">
        <f>VLOOKUP(M208,コード!$A$2:$C$345,2,FALSE)</f>
        <v>#N/A</v>
      </c>
      <c r="O208" s="15">
        <f t="shared" si="33"/>
        <v>0</v>
      </c>
      <c r="P208" s="15"/>
    </row>
    <row r="209" spans="1:16" ht="19.5" customHeight="1">
      <c r="A209" s="26"/>
      <c r="B209" s="27"/>
      <c r="C209" s="30"/>
      <c r="D209" s="31">
        <f t="shared" si="34"/>
        <v>0</v>
      </c>
      <c r="E209" s="29"/>
      <c r="F209" s="29"/>
      <c r="G209" s="29"/>
      <c r="H209" s="29"/>
      <c r="I209" s="4"/>
      <c r="J209" s="29"/>
      <c r="K209" s="16" t="str">
        <f t="shared" si="36"/>
        <v/>
      </c>
      <c r="L209" s="29"/>
      <c r="M209" s="62"/>
      <c r="N209" s="14" t="e">
        <f>VLOOKUP(M209,コード!$A$2:$C$345,2,FALSE)</f>
        <v>#N/A</v>
      </c>
      <c r="O209" s="15">
        <f t="shared" si="33"/>
        <v>0</v>
      </c>
      <c r="P209" s="15"/>
    </row>
    <row r="210" spans="1:16" ht="19.5" customHeight="1">
      <c r="A210" s="26"/>
      <c r="B210" s="27"/>
      <c r="C210" s="30"/>
      <c r="D210" s="31">
        <f t="shared" si="34"/>
        <v>0</v>
      </c>
      <c r="E210" s="29"/>
      <c r="F210" s="29"/>
      <c r="G210" s="29"/>
      <c r="H210" s="29"/>
      <c r="I210" s="4"/>
      <c r="J210" s="29"/>
      <c r="K210" s="16" t="str">
        <f t="shared" si="36"/>
        <v/>
      </c>
      <c r="L210" s="29"/>
      <c r="M210" s="62"/>
      <c r="N210" s="14" t="e">
        <f>VLOOKUP(M210,コード!$A$2:$C$345,2,FALSE)</f>
        <v>#N/A</v>
      </c>
      <c r="O210" s="15">
        <f t="shared" si="33"/>
        <v>0</v>
      </c>
      <c r="P210" s="15"/>
    </row>
    <row r="211" spans="1:16" ht="19.5" customHeight="1">
      <c r="A211" s="26"/>
      <c r="B211" s="27"/>
      <c r="C211" s="30"/>
      <c r="D211" s="31">
        <f t="shared" si="34"/>
        <v>0</v>
      </c>
      <c r="E211" s="29"/>
      <c r="F211" s="29"/>
      <c r="G211" s="29"/>
      <c r="H211" s="29"/>
      <c r="I211" s="4"/>
      <c r="J211" s="29"/>
      <c r="K211" s="16" t="str">
        <f t="shared" si="36"/>
        <v/>
      </c>
      <c r="L211" s="29"/>
      <c r="M211" s="62"/>
      <c r="N211" s="14" t="e">
        <f>VLOOKUP(M211,コード!$A$2:$C$345,2,FALSE)</f>
        <v>#N/A</v>
      </c>
      <c r="O211" s="15">
        <f t="shared" si="33"/>
        <v>0</v>
      </c>
      <c r="P211" s="15"/>
    </row>
    <row r="212" spans="1:16" ht="19.5" customHeight="1">
      <c r="A212" s="26"/>
      <c r="B212" s="27"/>
      <c r="C212" s="30"/>
      <c r="D212" s="31">
        <f t="shared" si="34"/>
        <v>0</v>
      </c>
      <c r="E212" s="29"/>
      <c r="F212" s="29"/>
      <c r="G212" s="29"/>
      <c r="H212" s="29"/>
      <c r="I212" s="4"/>
      <c r="J212" s="29"/>
      <c r="K212" s="16" t="str">
        <f t="shared" si="36"/>
        <v/>
      </c>
      <c r="L212" s="29"/>
      <c r="M212" s="62"/>
      <c r="N212" s="14" t="e">
        <f>VLOOKUP(M212,コード!$A$2:$C$345,2,FALSE)</f>
        <v>#N/A</v>
      </c>
      <c r="O212" s="15">
        <f t="shared" si="33"/>
        <v>0</v>
      </c>
      <c r="P212" s="15"/>
    </row>
    <row r="213" spans="1:16" ht="19.5" customHeight="1">
      <c r="A213" s="26"/>
      <c r="B213" s="27"/>
      <c r="C213" s="30"/>
      <c r="D213" s="31">
        <f t="shared" si="34"/>
        <v>0</v>
      </c>
      <c r="E213" s="29"/>
      <c r="F213" s="29"/>
      <c r="G213" s="29"/>
      <c r="H213" s="29"/>
      <c r="I213" s="4"/>
      <c r="J213" s="29"/>
      <c r="K213" s="16" t="str">
        <f t="shared" si="36"/>
        <v/>
      </c>
      <c r="L213" s="29"/>
      <c r="M213" s="62"/>
      <c r="N213" s="14" t="e">
        <f>VLOOKUP(M213,コード!$A$2:$C$345,2,FALSE)</f>
        <v>#N/A</v>
      </c>
      <c r="O213" s="15">
        <f t="shared" si="33"/>
        <v>0</v>
      </c>
      <c r="P213" s="15"/>
    </row>
    <row r="214" spans="1:16" ht="19.5" customHeight="1">
      <c r="A214" s="26"/>
      <c r="B214" s="27"/>
      <c r="C214" s="30"/>
      <c r="D214" s="31">
        <f t="shared" si="34"/>
        <v>0</v>
      </c>
      <c r="E214" s="29"/>
      <c r="F214" s="29"/>
      <c r="G214" s="29"/>
      <c r="H214" s="29"/>
      <c r="I214" s="4"/>
      <c r="J214" s="29"/>
      <c r="K214" s="16" t="str">
        <f t="shared" si="36"/>
        <v/>
      </c>
      <c r="L214" s="29"/>
      <c r="M214" s="62"/>
      <c r="N214" s="14" t="e">
        <f>VLOOKUP(M214,コード!$A$2:$C$345,2,FALSE)</f>
        <v>#N/A</v>
      </c>
      <c r="O214" s="15">
        <f t="shared" si="33"/>
        <v>0</v>
      </c>
      <c r="P214" s="15"/>
    </row>
    <row r="215" spans="1:16" ht="19.5" customHeight="1">
      <c r="A215" s="26"/>
      <c r="B215" s="27"/>
      <c r="C215" s="30"/>
      <c r="D215" s="31">
        <f t="shared" si="34"/>
        <v>0</v>
      </c>
      <c r="E215" s="29"/>
      <c r="F215" s="29"/>
      <c r="G215" s="29"/>
      <c r="H215" s="29"/>
      <c r="I215" s="4"/>
      <c r="J215" s="29"/>
      <c r="K215" s="16" t="str">
        <f t="shared" si="36"/>
        <v/>
      </c>
      <c r="L215" s="29"/>
      <c r="M215" s="62"/>
      <c r="N215" s="14" t="e">
        <f>VLOOKUP(M215,コード!$A$2:$C$345,2,FALSE)</f>
        <v>#N/A</v>
      </c>
      <c r="O215" s="15">
        <f t="shared" si="33"/>
        <v>0</v>
      </c>
      <c r="P215" s="15"/>
    </row>
    <row r="216" spans="1:16" ht="19.5" customHeight="1">
      <c r="A216" s="26"/>
      <c r="B216" s="27"/>
      <c r="C216" s="30"/>
      <c r="D216" s="31">
        <f t="shared" si="34"/>
        <v>0</v>
      </c>
      <c r="E216" s="29"/>
      <c r="F216" s="29"/>
      <c r="G216" s="29"/>
      <c r="H216" s="29"/>
      <c r="I216" s="4"/>
      <c r="J216" s="29"/>
      <c r="K216" s="16" t="str">
        <f t="shared" si="36"/>
        <v/>
      </c>
      <c r="L216" s="29"/>
      <c r="M216" s="62"/>
      <c r="N216" s="14" t="e">
        <f>VLOOKUP(M216,コード!$A$2:$C$345,2,FALSE)</f>
        <v>#N/A</v>
      </c>
      <c r="O216" s="15">
        <f t="shared" si="33"/>
        <v>0</v>
      </c>
      <c r="P216" s="15"/>
    </row>
    <row r="217" spans="1:16" ht="19.5" customHeight="1">
      <c r="A217" s="26"/>
      <c r="B217" s="27"/>
      <c r="C217" s="30"/>
      <c r="D217" s="31">
        <f t="shared" si="34"/>
        <v>0</v>
      </c>
      <c r="E217" s="29"/>
      <c r="F217" s="29"/>
      <c r="G217" s="29"/>
      <c r="H217" s="29"/>
      <c r="I217" s="4"/>
      <c r="J217" s="29"/>
      <c r="K217" s="16" t="str">
        <f t="shared" si="36"/>
        <v/>
      </c>
      <c r="L217" s="29"/>
      <c r="M217" s="62"/>
      <c r="N217" s="14" t="e">
        <f>VLOOKUP(M217,コード!$A$2:$C$345,2,FALSE)</f>
        <v>#N/A</v>
      </c>
      <c r="O217" s="15">
        <f t="shared" si="33"/>
        <v>0</v>
      </c>
      <c r="P217" s="15"/>
    </row>
    <row r="218" spans="1:16" ht="19.5" customHeight="1">
      <c r="A218" s="26"/>
      <c r="B218" s="27"/>
      <c r="C218" s="30"/>
      <c r="D218" s="31">
        <f t="shared" si="34"/>
        <v>0</v>
      </c>
      <c r="E218" s="29"/>
      <c r="F218" s="29"/>
      <c r="G218" s="29"/>
      <c r="H218" s="29"/>
      <c r="I218" s="4"/>
      <c r="J218" s="29"/>
      <c r="K218" s="16" t="str">
        <f t="shared" si="36"/>
        <v/>
      </c>
      <c r="L218" s="29"/>
      <c r="M218" s="62"/>
      <c r="N218" s="14" t="e">
        <f>VLOOKUP(M218,コード!$A$2:$C$345,2,FALSE)</f>
        <v>#N/A</v>
      </c>
      <c r="O218" s="15">
        <f t="shared" si="33"/>
        <v>0</v>
      </c>
      <c r="P218" s="15"/>
    </row>
    <row r="219" spans="1:16" ht="19.5" customHeight="1">
      <c r="A219" s="26"/>
      <c r="B219" s="27"/>
      <c r="C219" s="30"/>
      <c r="D219" s="31">
        <f t="shared" si="34"/>
        <v>0</v>
      </c>
      <c r="E219" s="29"/>
      <c r="F219" s="29"/>
      <c r="G219" s="29"/>
      <c r="H219" s="29"/>
      <c r="I219" s="4"/>
      <c r="J219" s="29"/>
      <c r="K219" s="16" t="str">
        <f t="shared" si="36"/>
        <v/>
      </c>
      <c r="L219" s="29"/>
      <c r="M219" s="62"/>
      <c r="N219" s="14" t="e">
        <f>VLOOKUP(M219,コード!$A$2:$C$345,2,FALSE)</f>
        <v>#N/A</v>
      </c>
      <c r="O219" s="15">
        <f t="shared" si="33"/>
        <v>0</v>
      </c>
      <c r="P219" s="15"/>
    </row>
    <row r="220" spans="1:16" ht="19.5" customHeight="1">
      <c r="A220" s="26"/>
      <c r="B220" s="27"/>
      <c r="C220" s="30"/>
      <c r="D220" s="31">
        <f t="shared" si="34"/>
        <v>0</v>
      </c>
      <c r="E220" s="29"/>
      <c r="F220" s="29"/>
      <c r="G220" s="29"/>
      <c r="H220" s="29"/>
      <c r="I220" s="4"/>
      <c r="J220" s="29"/>
      <c r="K220" s="16" t="str">
        <f t="shared" si="36"/>
        <v/>
      </c>
      <c r="L220" s="29"/>
      <c r="M220" s="62"/>
      <c r="N220" s="14" t="e">
        <f>VLOOKUP(M220,コード!$A$2:$C$345,2,FALSE)</f>
        <v>#N/A</v>
      </c>
      <c r="O220" s="15">
        <f t="shared" si="33"/>
        <v>0</v>
      </c>
      <c r="P220" s="15"/>
    </row>
    <row r="221" spans="1:16" ht="19.5" customHeight="1">
      <c r="A221" s="26"/>
      <c r="B221" s="27"/>
      <c r="C221" s="30"/>
      <c r="D221" s="31">
        <f t="shared" ref="D221:D284" si="39">ROUNDUP((B221+C221)/8,3)</f>
        <v>0</v>
      </c>
      <c r="E221" s="29"/>
      <c r="F221" s="29"/>
      <c r="G221" s="29"/>
      <c r="H221" s="29"/>
      <c r="I221" s="4"/>
      <c r="J221" s="29"/>
      <c r="K221" s="16" t="str">
        <f t="shared" ref="K221:K284" si="40">F221&amp;G221</f>
        <v/>
      </c>
      <c r="L221" s="29"/>
      <c r="M221" s="62"/>
      <c r="N221" s="14" t="e">
        <f>VLOOKUP(M221,コード!$A$2:$C$345,2,FALSE)</f>
        <v>#N/A</v>
      </c>
      <c r="O221" s="15">
        <f t="shared" ref="O221:O284" si="41">I221</f>
        <v>0</v>
      </c>
      <c r="P221" s="15"/>
    </row>
    <row r="222" spans="1:16" ht="19.5" customHeight="1">
      <c r="A222" s="26"/>
      <c r="B222" s="27"/>
      <c r="C222" s="30"/>
      <c r="D222" s="31">
        <f t="shared" si="39"/>
        <v>0</v>
      </c>
      <c r="E222" s="29"/>
      <c r="F222" s="29"/>
      <c r="G222" s="29"/>
      <c r="H222" s="29"/>
      <c r="I222" s="4"/>
      <c r="J222" s="29"/>
      <c r="K222" s="16" t="str">
        <f t="shared" si="40"/>
        <v/>
      </c>
      <c r="L222" s="29"/>
      <c r="M222" s="62"/>
      <c r="N222" s="14" t="e">
        <f>VLOOKUP(M222,コード!$A$2:$C$345,2,FALSE)</f>
        <v>#N/A</v>
      </c>
      <c r="O222" s="15">
        <f t="shared" si="41"/>
        <v>0</v>
      </c>
      <c r="P222" s="15"/>
    </row>
    <row r="223" spans="1:16" ht="19.5" customHeight="1">
      <c r="A223" s="26"/>
      <c r="B223" s="27"/>
      <c r="C223" s="30"/>
      <c r="D223" s="31">
        <f t="shared" si="39"/>
        <v>0</v>
      </c>
      <c r="E223" s="29"/>
      <c r="F223" s="29"/>
      <c r="G223" s="29"/>
      <c r="H223" s="29"/>
      <c r="I223" s="4"/>
      <c r="J223" s="29"/>
      <c r="K223" s="16" t="str">
        <f t="shared" si="40"/>
        <v/>
      </c>
      <c r="L223" s="29"/>
      <c r="M223" s="62"/>
      <c r="N223" s="14" t="e">
        <f>VLOOKUP(M223,コード!$A$2:$C$345,2,FALSE)</f>
        <v>#N/A</v>
      </c>
      <c r="O223" s="15">
        <f t="shared" si="41"/>
        <v>0</v>
      </c>
      <c r="P223" s="15"/>
    </row>
    <row r="224" spans="1:16" ht="19.5" customHeight="1">
      <c r="A224" s="26"/>
      <c r="B224" s="27"/>
      <c r="C224" s="30"/>
      <c r="D224" s="31">
        <f t="shared" si="39"/>
        <v>0</v>
      </c>
      <c r="E224" s="29"/>
      <c r="F224" s="29"/>
      <c r="G224" s="29"/>
      <c r="H224" s="29"/>
      <c r="I224" s="4"/>
      <c r="J224" s="29"/>
      <c r="K224" s="16" t="str">
        <f t="shared" si="40"/>
        <v/>
      </c>
      <c r="L224" s="29"/>
      <c r="M224" s="62"/>
      <c r="N224" s="14" t="e">
        <f>VLOOKUP(M224,コード!$A$2:$C$345,2,FALSE)</f>
        <v>#N/A</v>
      </c>
      <c r="O224" s="15">
        <f t="shared" si="41"/>
        <v>0</v>
      </c>
      <c r="P224" s="15"/>
    </row>
    <row r="225" spans="1:16" ht="19.5" customHeight="1">
      <c r="A225" s="26"/>
      <c r="B225" s="27"/>
      <c r="C225" s="30"/>
      <c r="D225" s="31">
        <f t="shared" si="39"/>
        <v>0</v>
      </c>
      <c r="E225" s="29"/>
      <c r="F225" s="29"/>
      <c r="G225" s="29"/>
      <c r="H225" s="29"/>
      <c r="I225" s="4"/>
      <c r="J225" s="29"/>
      <c r="K225" s="16" t="str">
        <f t="shared" si="40"/>
        <v/>
      </c>
      <c r="L225" s="29"/>
      <c r="M225" s="62"/>
      <c r="N225" s="14" t="e">
        <f>VLOOKUP(M225,コード!$A$2:$C$345,2,FALSE)</f>
        <v>#N/A</v>
      </c>
      <c r="O225" s="15">
        <f t="shared" si="41"/>
        <v>0</v>
      </c>
      <c r="P225" s="15"/>
    </row>
    <row r="226" spans="1:16" ht="19.5" customHeight="1">
      <c r="A226" s="26"/>
      <c r="B226" s="27"/>
      <c r="C226" s="30"/>
      <c r="D226" s="31">
        <f t="shared" si="39"/>
        <v>0</v>
      </c>
      <c r="E226" s="29"/>
      <c r="F226" s="29"/>
      <c r="G226" s="29"/>
      <c r="H226" s="29"/>
      <c r="I226" s="4"/>
      <c r="J226" s="29"/>
      <c r="K226" s="16" t="str">
        <f t="shared" si="40"/>
        <v/>
      </c>
      <c r="L226" s="29"/>
      <c r="M226" s="62"/>
      <c r="N226" s="14" t="e">
        <f>VLOOKUP(M226,コード!$A$2:$C$345,2,FALSE)</f>
        <v>#N/A</v>
      </c>
      <c r="O226" s="15">
        <f t="shared" si="41"/>
        <v>0</v>
      </c>
      <c r="P226" s="15"/>
    </row>
    <row r="227" spans="1:16" ht="19.5" customHeight="1">
      <c r="A227" s="26"/>
      <c r="B227" s="27"/>
      <c r="C227" s="30"/>
      <c r="D227" s="31">
        <f t="shared" si="39"/>
        <v>0</v>
      </c>
      <c r="E227" s="29"/>
      <c r="F227" s="29"/>
      <c r="G227" s="29"/>
      <c r="H227" s="29"/>
      <c r="I227" s="4"/>
      <c r="J227" s="29"/>
      <c r="K227" s="16" t="str">
        <f t="shared" si="40"/>
        <v/>
      </c>
      <c r="L227" s="29"/>
      <c r="M227" s="62"/>
      <c r="N227" s="14" t="e">
        <f>VLOOKUP(M227,コード!$A$2:$C$345,2,FALSE)</f>
        <v>#N/A</v>
      </c>
      <c r="O227" s="15">
        <f t="shared" si="41"/>
        <v>0</v>
      </c>
      <c r="P227" s="15"/>
    </row>
    <row r="228" spans="1:16" ht="19.5" customHeight="1">
      <c r="A228" s="26"/>
      <c r="B228" s="27"/>
      <c r="C228" s="30"/>
      <c r="D228" s="31">
        <f t="shared" si="39"/>
        <v>0</v>
      </c>
      <c r="E228" s="29"/>
      <c r="F228" s="29"/>
      <c r="G228" s="29"/>
      <c r="H228" s="29"/>
      <c r="I228" s="4"/>
      <c r="J228" s="29"/>
      <c r="K228" s="16" t="str">
        <f t="shared" si="40"/>
        <v/>
      </c>
      <c r="L228" s="29"/>
      <c r="M228" s="62"/>
      <c r="N228" s="14" t="e">
        <f>VLOOKUP(M228,コード!$A$2:$C$345,2,FALSE)</f>
        <v>#N/A</v>
      </c>
      <c r="O228" s="15">
        <f t="shared" si="41"/>
        <v>0</v>
      </c>
      <c r="P228" s="15"/>
    </row>
    <row r="229" spans="1:16" ht="19.5" customHeight="1">
      <c r="A229" s="26"/>
      <c r="B229" s="27"/>
      <c r="C229" s="30"/>
      <c r="D229" s="31">
        <f t="shared" si="39"/>
        <v>0</v>
      </c>
      <c r="E229" s="29"/>
      <c r="F229" s="29"/>
      <c r="G229" s="29"/>
      <c r="H229" s="29"/>
      <c r="I229" s="4"/>
      <c r="J229" s="29"/>
      <c r="K229" s="16" t="str">
        <f t="shared" si="40"/>
        <v/>
      </c>
      <c r="L229" s="29"/>
      <c r="M229" s="62"/>
      <c r="N229" s="14" t="e">
        <f>VLOOKUP(M229,コード!$A$2:$C$345,2,FALSE)</f>
        <v>#N/A</v>
      </c>
      <c r="O229" s="15">
        <f t="shared" si="41"/>
        <v>0</v>
      </c>
      <c r="P229" s="15"/>
    </row>
    <row r="230" spans="1:16" ht="19.5" customHeight="1">
      <c r="A230" s="26"/>
      <c r="B230" s="27"/>
      <c r="C230" s="30"/>
      <c r="D230" s="31">
        <f t="shared" si="39"/>
        <v>0</v>
      </c>
      <c r="E230" s="29"/>
      <c r="F230" s="29"/>
      <c r="G230" s="29"/>
      <c r="H230" s="29"/>
      <c r="I230" s="4"/>
      <c r="J230" s="29"/>
      <c r="K230" s="16" t="str">
        <f t="shared" si="40"/>
        <v/>
      </c>
      <c r="L230" s="29"/>
      <c r="M230" s="62"/>
      <c r="N230" s="14" t="e">
        <f>VLOOKUP(M230,コード!$A$2:$C$345,2,FALSE)</f>
        <v>#N/A</v>
      </c>
      <c r="O230" s="15">
        <f t="shared" si="41"/>
        <v>0</v>
      </c>
      <c r="P230" s="15"/>
    </row>
    <row r="231" spans="1:16" ht="19.5" customHeight="1">
      <c r="A231" s="26"/>
      <c r="B231" s="27"/>
      <c r="C231" s="30"/>
      <c r="D231" s="31">
        <f t="shared" si="39"/>
        <v>0</v>
      </c>
      <c r="E231" s="29"/>
      <c r="F231" s="29"/>
      <c r="G231" s="29"/>
      <c r="H231" s="29"/>
      <c r="I231" s="4"/>
      <c r="J231" s="29"/>
      <c r="K231" s="16" t="str">
        <f t="shared" si="40"/>
        <v/>
      </c>
      <c r="L231" s="29"/>
      <c r="M231" s="62"/>
      <c r="N231" s="14" t="e">
        <f>VLOOKUP(M231,コード!$A$2:$C$345,2,FALSE)</f>
        <v>#N/A</v>
      </c>
      <c r="O231" s="15">
        <f t="shared" si="41"/>
        <v>0</v>
      </c>
      <c r="P231" s="15"/>
    </row>
    <row r="232" spans="1:16" ht="19.5" customHeight="1">
      <c r="A232" s="26"/>
      <c r="B232" s="27"/>
      <c r="C232" s="30"/>
      <c r="D232" s="31">
        <f t="shared" si="39"/>
        <v>0</v>
      </c>
      <c r="E232" s="29"/>
      <c r="F232" s="29"/>
      <c r="G232" s="29"/>
      <c r="H232" s="29"/>
      <c r="I232" s="4"/>
      <c r="J232" s="29"/>
      <c r="K232" s="16" t="str">
        <f t="shared" si="40"/>
        <v/>
      </c>
      <c r="L232" s="29"/>
      <c r="M232" s="62"/>
      <c r="N232" s="14" t="e">
        <f>VLOOKUP(M232,コード!$A$2:$C$345,2,FALSE)</f>
        <v>#N/A</v>
      </c>
      <c r="O232" s="15">
        <f t="shared" si="41"/>
        <v>0</v>
      </c>
      <c r="P232" s="15"/>
    </row>
    <row r="233" spans="1:16" ht="19.5" customHeight="1">
      <c r="A233" s="26"/>
      <c r="B233" s="27"/>
      <c r="C233" s="30"/>
      <c r="D233" s="31">
        <f t="shared" si="39"/>
        <v>0</v>
      </c>
      <c r="E233" s="29"/>
      <c r="F233" s="29"/>
      <c r="G233" s="29"/>
      <c r="H233" s="29"/>
      <c r="I233" s="4"/>
      <c r="J233" s="29"/>
      <c r="K233" s="16" t="str">
        <f t="shared" si="40"/>
        <v/>
      </c>
      <c r="L233" s="29"/>
      <c r="M233" s="62"/>
      <c r="N233" s="14" t="e">
        <f>VLOOKUP(M233,コード!$A$2:$C$345,2,FALSE)</f>
        <v>#N/A</v>
      </c>
      <c r="O233" s="15">
        <f t="shared" si="41"/>
        <v>0</v>
      </c>
      <c r="P233" s="15"/>
    </row>
    <row r="234" spans="1:16" ht="19.5" customHeight="1">
      <c r="A234" s="26"/>
      <c r="B234" s="27"/>
      <c r="C234" s="30"/>
      <c r="D234" s="31">
        <f t="shared" si="39"/>
        <v>0</v>
      </c>
      <c r="E234" s="29"/>
      <c r="F234" s="29"/>
      <c r="G234" s="29"/>
      <c r="H234" s="29"/>
      <c r="I234" s="4"/>
      <c r="J234" s="29"/>
      <c r="K234" s="16" t="str">
        <f t="shared" si="40"/>
        <v/>
      </c>
      <c r="L234" s="29"/>
      <c r="M234" s="62"/>
      <c r="N234" s="14" t="e">
        <f>VLOOKUP(M234,コード!$A$2:$C$345,2,FALSE)</f>
        <v>#N/A</v>
      </c>
      <c r="O234" s="15">
        <f t="shared" si="41"/>
        <v>0</v>
      </c>
      <c r="P234" s="15"/>
    </row>
    <row r="235" spans="1:16" ht="19.5" customHeight="1">
      <c r="A235" s="26"/>
      <c r="B235" s="27"/>
      <c r="C235" s="30"/>
      <c r="D235" s="31">
        <f t="shared" si="39"/>
        <v>0</v>
      </c>
      <c r="E235" s="29"/>
      <c r="F235" s="29"/>
      <c r="G235" s="29"/>
      <c r="H235" s="29"/>
      <c r="I235" s="4"/>
      <c r="J235" s="29"/>
      <c r="K235" s="16" t="str">
        <f t="shared" si="40"/>
        <v/>
      </c>
      <c r="L235" s="29"/>
      <c r="M235" s="62"/>
      <c r="N235" s="14" t="e">
        <f>VLOOKUP(M235,コード!$A$2:$C$345,2,FALSE)</f>
        <v>#N/A</v>
      </c>
      <c r="O235" s="15">
        <f t="shared" si="41"/>
        <v>0</v>
      </c>
      <c r="P235" s="15"/>
    </row>
    <row r="236" spans="1:16" ht="19.5" customHeight="1">
      <c r="A236" s="26"/>
      <c r="B236" s="27"/>
      <c r="C236" s="30"/>
      <c r="D236" s="31">
        <f t="shared" si="39"/>
        <v>0</v>
      </c>
      <c r="E236" s="29"/>
      <c r="F236" s="29"/>
      <c r="G236" s="29"/>
      <c r="H236" s="29"/>
      <c r="I236" s="4"/>
      <c r="J236" s="29"/>
      <c r="K236" s="16" t="str">
        <f t="shared" si="40"/>
        <v/>
      </c>
      <c r="L236" s="29"/>
      <c r="M236" s="62"/>
      <c r="N236" s="14" t="e">
        <f>VLOOKUP(M236,コード!$A$2:$C$345,2,FALSE)</f>
        <v>#N/A</v>
      </c>
      <c r="O236" s="15">
        <f t="shared" si="41"/>
        <v>0</v>
      </c>
      <c r="P236" s="15"/>
    </row>
    <row r="237" spans="1:16" ht="19.5" customHeight="1">
      <c r="A237" s="26"/>
      <c r="B237" s="27"/>
      <c r="C237" s="30"/>
      <c r="D237" s="31">
        <f t="shared" si="39"/>
        <v>0</v>
      </c>
      <c r="E237" s="29"/>
      <c r="F237" s="29"/>
      <c r="G237" s="29"/>
      <c r="H237" s="29"/>
      <c r="I237" s="4"/>
      <c r="J237" s="29"/>
      <c r="K237" s="16" t="str">
        <f t="shared" si="40"/>
        <v/>
      </c>
      <c r="L237" s="29"/>
      <c r="M237" s="62"/>
      <c r="N237" s="14" t="e">
        <f>VLOOKUP(M237,コード!$A$2:$C$345,2,FALSE)</f>
        <v>#N/A</v>
      </c>
      <c r="O237" s="15">
        <f t="shared" si="41"/>
        <v>0</v>
      </c>
      <c r="P237" s="15"/>
    </row>
    <row r="238" spans="1:16" ht="19.5" customHeight="1">
      <c r="A238" s="26"/>
      <c r="B238" s="27"/>
      <c r="C238" s="30"/>
      <c r="D238" s="31">
        <f t="shared" si="39"/>
        <v>0</v>
      </c>
      <c r="E238" s="29"/>
      <c r="F238" s="29"/>
      <c r="G238" s="29"/>
      <c r="H238" s="29"/>
      <c r="I238" s="4"/>
      <c r="J238" s="29"/>
      <c r="K238" s="16" t="str">
        <f t="shared" si="40"/>
        <v/>
      </c>
      <c r="L238" s="29"/>
      <c r="M238" s="62"/>
      <c r="N238" s="14" t="e">
        <f>VLOOKUP(M238,コード!$A$2:$C$345,2,FALSE)</f>
        <v>#N/A</v>
      </c>
      <c r="O238" s="15">
        <f t="shared" si="41"/>
        <v>0</v>
      </c>
      <c r="P238" s="15"/>
    </row>
    <row r="239" spans="1:16" ht="19.5" customHeight="1">
      <c r="A239" s="26"/>
      <c r="B239" s="27"/>
      <c r="C239" s="30"/>
      <c r="D239" s="31">
        <f t="shared" si="39"/>
        <v>0</v>
      </c>
      <c r="E239" s="29"/>
      <c r="F239" s="29"/>
      <c r="G239" s="29"/>
      <c r="H239" s="29"/>
      <c r="I239" s="4"/>
      <c r="J239" s="29"/>
      <c r="K239" s="16" t="str">
        <f t="shared" si="40"/>
        <v/>
      </c>
      <c r="L239" s="29"/>
      <c r="M239" s="62"/>
      <c r="N239" s="14" t="e">
        <f>VLOOKUP(M239,コード!$A$2:$C$345,2,FALSE)</f>
        <v>#N/A</v>
      </c>
      <c r="O239" s="15">
        <f t="shared" si="41"/>
        <v>0</v>
      </c>
      <c r="P239" s="15"/>
    </row>
    <row r="240" spans="1:16" ht="19.5" customHeight="1">
      <c r="A240" s="26"/>
      <c r="B240" s="27"/>
      <c r="C240" s="30"/>
      <c r="D240" s="31">
        <f t="shared" si="39"/>
        <v>0</v>
      </c>
      <c r="E240" s="29"/>
      <c r="F240" s="29"/>
      <c r="G240" s="29"/>
      <c r="H240" s="29"/>
      <c r="I240" s="4"/>
      <c r="J240" s="29"/>
      <c r="K240" s="16" t="str">
        <f t="shared" si="40"/>
        <v/>
      </c>
      <c r="L240" s="29"/>
      <c r="M240" s="62"/>
      <c r="N240" s="14" t="e">
        <f>VLOOKUP(M240,コード!$A$2:$C$345,2,FALSE)</f>
        <v>#N/A</v>
      </c>
      <c r="O240" s="15">
        <f t="shared" si="41"/>
        <v>0</v>
      </c>
      <c r="P240" s="15"/>
    </row>
    <row r="241" spans="1:16" ht="19.5" customHeight="1">
      <c r="A241" s="26"/>
      <c r="B241" s="27"/>
      <c r="C241" s="30"/>
      <c r="D241" s="31">
        <f t="shared" si="39"/>
        <v>0</v>
      </c>
      <c r="E241" s="29"/>
      <c r="F241" s="29"/>
      <c r="G241" s="29"/>
      <c r="H241" s="29"/>
      <c r="I241" s="4"/>
      <c r="J241" s="29"/>
      <c r="K241" s="16" t="str">
        <f t="shared" si="40"/>
        <v/>
      </c>
      <c r="L241" s="29"/>
      <c r="M241" s="62"/>
      <c r="N241" s="14" t="e">
        <f>VLOOKUP(M241,コード!$A$2:$C$345,2,FALSE)</f>
        <v>#N/A</v>
      </c>
      <c r="O241" s="15">
        <f t="shared" si="41"/>
        <v>0</v>
      </c>
      <c r="P241" s="15"/>
    </row>
    <row r="242" spans="1:16" ht="19.5" customHeight="1">
      <c r="A242" s="26"/>
      <c r="B242" s="27"/>
      <c r="C242" s="30"/>
      <c r="D242" s="31">
        <f t="shared" si="39"/>
        <v>0</v>
      </c>
      <c r="E242" s="29"/>
      <c r="F242" s="29"/>
      <c r="G242" s="29"/>
      <c r="H242" s="29"/>
      <c r="I242" s="4"/>
      <c r="J242" s="29"/>
      <c r="K242" s="16" t="str">
        <f t="shared" si="40"/>
        <v/>
      </c>
      <c r="L242" s="29"/>
      <c r="M242" s="62"/>
      <c r="N242" s="14" t="e">
        <f>VLOOKUP(M242,コード!$A$2:$C$345,2,FALSE)</f>
        <v>#N/A</v>
      </c>
      <c r="O242" s="15">
        <f t="shared" si="41"/>
        <v>0</v>
      </c>
      <c r="P242" s="15"/>
    </row>
    <row r="243" spans="1:16" ht="19.5" customHeight="1">
      <c r="A243" s="26"/>
      <c r="B243" s="27"/>
      <c r="C243" s="30"/>
      <c r="D243" s="31">
        <f t="shared" si="39"/>
        <v>0</v>
      </c>
      <c r="E243" s="29"/>
      <c r="F243" s="29"/>
      <c r="G243" s="29"/>
      <c r="H243" s="29"/>
      <c r="I243" s="4"/>
      <c r="J243" s="29"/>
      <c r="K243" s="16" t="str">
        <f t="shared" si="40"/>
        <v/>
      </c>
      <c r="L243" s="29"/>
      <c r="M243" s="62"/>
      <c r="N243" s="14" t="e">
        <f>VLOOKUP(M243,コード!$A$2:$C$345,2,FALSE)</f>
        <v>#N/A</v>
      </c>
      <c r="O243" s="15">
        <f t="shared" si="41"/>
        <v>0</v>
      </c>
      <c r="P243" s="15"/>
    </row>
    <row r="244" spans="1:16" ht="19.5" customHeight="1">
      <c r="A244" s="26"/>
      <c r="B244" s="27"/>
      <c r="C244" s="30"/>
      <c r="D244" s="31">
        <f t="shared" si="39"/>
        <v>0</v>
      </c>
      <c r="E244" s="29"/>
      <c r="F244" s="29"/>
      <c r="G244" s="29"/>
      <c r="H244" s="29"/>
      <c r="I244" s="4"/>
      <c r="J244" s="29"/>
      <c r="K244" s="16" t="str">
        <f t="shared" si="40"/>
        <v/>
      </c>
      <c r="L244" s="29"/>
      <c r="M244" s="62"/>
      <c r="N244" s="14" t="e">
        <f>VLOOKUP(M244,コード!$A$2:$C$345,2,FALSE)</f>
        <v>#N/A</v>
      </c>
      <c r="O244" s="15">
        <f t="shared" si="41"/>
        <v>0</v>
      </c>
      <c r="P244" s="15"/>
    </row>
    <row r="245" spans="1:16" ht="19.5" customHeight="1">
      <c r="A245" s="26"/>
      <c r="B245" s="27"/>
      <c r="C245" s="30"/>
      <c r="D245" s="31">
        <f t="shared" si="39"/>
        <v>0</v>
      </c>
      <c r="E245" s="29"/>
      <c r="F245" s="29"/>
      <c r="G245" s="29"/>
      <c r="H245" s="29"/>
      <c r="I245" s="4"/>
      <c r="J245" s="29"/>
      <c r="K245" s="16" t="str">
        <f t="shared" si="40"/>
        <v/>
      </c>
      <c r="L245" s="29"/>
      <c r="M245" s="62"/>
      <c r="N245" s="14" t="e">
        <f>VLOOKUP(M245,コード!$A$2:$C$345,2,FALSE)</f>
        <v>#N/A</v>
      </c>
      <c r="O245" s="15">
        <f t="shared" si="41"/>
        <v>0</v>
      </c>
      <c r="P245" s="15"/>
    </row>
    <row r="246" spans="1:16" ht="19.5" customHeight="1">
      <c r="A246" s="26"/>
      <c r="B246" s="27"/>
      <c r="C246" s="30"/>
      <c r="D246" s="31">
        <f t="shared" si="39"/>
        <v>0</v>
      </c>
      <c r="E246" s="29"/>
      <c r="F246" s="29"/>
      <c r="G246" s="29"/>
      <c r="H246" s="29"/>
      <c r="I246" s="4"/>
      <c r="J246" s="29"/>
      <c r="K246" s="16" t="str">
        <f t="shared" si="40"/>
        <v/>
      </c>
      <c r="L246" s="29"/>
      <c r="M246" s="62"/>
      <c r="N246" s="14" t="e">
        <f>VLOOKUP(M246,コード!$A$2:$C$345,2,FALSE)</f>
        <v>#N/A</v>
      </c>
      <c r="O246" s="15">
        <f t="shared" si="41"/>
        <v>0</v>
      </c>
      <c r="P246" s="15"/>
    </row>
    <row r="247" spans="1:16" ht="19.5" customHeight="1">
      <c r="A247" s="26"/>
      <c r="B247" s="27"/>
      <c r="C247" s="30"/>
      <c r="D247" s="31">
        <f t="shared" si="39"/>
        <v>0</v>
      </c>
      <c r="E247" s="29"/>
      <c r="F247" s="29"/>
      <c r="G247" s="29"/>
      <c r="H247" s="29"/>
      <c r="I247" s="4"/>
      <c r="J247" s="29"/>
      <c r="K247" s="16" t="str">
        <f t="shared" si="40"/>
        <v/>
      </c>
      <c r="L247" s="29"/>
      <c r="M247" s="62"/>
      <c r="N247" s="14" t="e">
        <f>VLOOKUP(M247,コード!$A$2:$C$345,2,FALSE)</f>
        <v>#N/A</v>
      </c>
      <c r="O247" s="15">
        <f t="shared" si="41"/>
        <v>0</v>
      </c>
      <c r="P247" s="15"/>
    </row>
    <row r="248" spans="1:16" ht="19.5" customHeight="1">
      <c r="A248" s="26"/>
      <c r="B248" s="27"/>
      <c r="C248" s="30"/>
      <c r="D248" s="31">
        <f t="shared" si="39"/>
        <v>0</v>
      </c>
      <c r="E248" s="29"/>
      <c r="F248" s="29"/>
      <c r="G248" s="29"/>
      <c r="H248" s="29"/>
      <c r="I248" s="4"/>
      <c r="J248" s="29"/>
      <c r="K248" s="16" t="str">
        <f t="shared" si="40"/>
        <v/>
      </c>
      <c r="L248" s="29"/>
      <c r="M248" s="62"/>
      <c r="N248" s="14" t="e">
        <f>VLOOKUP(M248,コード!$A$2:$C$345,2,FALSE)</f>
        <v>#N/A</v>
      </c>
      <c r="O248" s="15">
        <f t="shared" si="41"/>
        <v>0</v>
      </c>
      <c r="P248" s="15"/>
    </row>
    <row r="249" spans="1:16" ht="19.5" customHeight="1">
      <c r="A249" s="26"/>
      <c r="B249" s="27"/>
      <c r="C249" s="30"/>
      <c r="D249" s="31">
        <f t="shared" si="39"/>
        <v>0</v>
      </c>
      <c r="E249" s="29"/>
      <c r="F249" s="29"/>
      <c r="G249" s="29"/>
      <c r="H249" s="29"/>
      <c r="I249" s="4"/>
      <c r="J249" s="29"/>
      <c r="K249" s="16" t="str">
        <f t="shared" si="40"/>
        <v/>
      </c>
      <c r="L249" s="29"/>
      <c r="M249" s="62"/>
      <c r="N249" s="14" t="e">
        <f>VLOOKUP(M249,コード!$A$2:$C$345,2,FALSE)</f>
        <v>#N/A</v>
      </c>
      <c r="O249" s="15">
        <f t="shared" si="41"/>
        <v>0</v>
      </c>
      <c r="P249" s="15"/>
    </row>
    <row r="250" spans="1:16" ht="19.5" customHeight="1">
      <c r="A250" s="26"/>
      <c r="B250" s="27"/>
      <c r="C250" s="30"/>
      <c r="D250" s="31">
        <f t="shared" si="39"/>
        <v>0</v>
      </c>
      <c r="E250" s="29"/>
      <c r="F250" s="29"/>
      <c r="G250" s="29"/>
      <c r="H250" s="29"/>
      <c r="I250" s="4"/>
      <c r="J250" s="29"/>
      <c r="K250" s="16" t="str">
        <f t="shared" si="40"/>
        <v/>
      </c>
      <c r="L250" s="29"/>
      <c r="M250" s="62"/>
      <c r="N250" s="14" t="e">
        <f>VLOOKUP(M250,コード!$A$2:$C$345,2,FALSE)</f>
        <v>#N/A</v>
      </c>
      <c r="O250" s="15">
        <f t="shared" si="41"/>
        <v>0</v>
      </c>
      <c r="P250" s="15"/>
    </row>
    <row r="251" spans="1:16" ht="19.5" customHeight="1">
      <c r="A251" s="26"/>
      <c r="B251" s="27"/>
      <c r="C251" s="30"/>
      <c r="D251" s="31">
        <f t="shared" si="39"/>
        <v>0</v>
      </c>
      <c r="E251" s="29"/>
      <c r="F251" s="29"/>
      <c r="G251" s="29"/>
      <c r="H251" s="29"/>
      <c r="I251" s="4"/>
      <c r="J251" s="29"/>
      <c r="K251" s="16" t="str">
        <f t="shared" si="40"/>
        <v/>
      </c>
      <c r="L251" s="29"/>
      <c r="M251" s="62"/>
      <c r="N251" s="14" t="e">
        <f>VLOOKUP(M251,コード!$A$2:$C$345,2,FALSE)</f>
        <v>#N/A</v>
      </c>
      <c r="O251" s="15">
        <f t="shared" si="41"/>
        <v>0</v>
      </c>
      <c r="P251" s="15"/>
    </row>
    <row r="252" spans="1:16" ht="19.5" customHeight="1">
      <c r="A252" s="26"/>
      <c r="B252" s="27"/>
      <c r="C252" s="30"/>
      <c r="D252" s="31">
        <f t="shared" si="39"/>
        <v>0</v>
      </c>
      <c r="E252" s="29"/>
      <c r="F252" s="29"/>
      <c r="G252" s="29"/>
      <c r="H252" s="29"/>
      <c r="I252" s="4"/>
      <c r="J252" s="29"/>
      <c r="K252" s="16" t="str">
        <f t="shared" si="40"/>
        <v/>
      </c>
      <c r="L252" s="29"/>
      <c r="M252" s="62"/>
      <c r="N252" s="14" t="e">
        <f>VLOOKUP(M252,コード!$A$2:$C$345,2,FALSE)</f>
        <v>#N/A</v>
      </c>
      <c r="O252" s="15">
        <f t="shared" si="41"/>
        <v>0</v>
      </c>
      <c r="P252" s="15"/>
    </row>
    <row r="253" spans="1:16" ht="19.5" customHeight="1">
      <c r="A253" s="26"/>
      <c r="B253" s="27"/>
      <c r="C253" s="30"/>
      <c r="D253" s="31">
        <f t="shared" si="39"/>
        <v>0</v>
      </c>
      <c r="E253" s="29"/>
      <c r="F253" s="29"/>
      <c r="G253" s="29"/>
      <c r="H253" s="29"/>
      <c r="I253" s="4"/>
      <c r="J253" s="29"/>
      <c r="K253" s="16" t="str">
        <f t="shared" si="40"/>
        <v/>
      </c>
      <c r="L253" s="29"/>
      <c r="M253" s="62"/>
      <c r="N253" s="14" t="e">
        <f>VLOOKUP(M253,コード!$A$2:$C$345,2,FALSE)</f>
        <v>#N/A</v>
      </c>
      <c r="O253" s="15">
        <f t="shared" si="41"/>
        <v>0</v>
      </c>
      <c r="P253" s="15"/>
    </row>
    <row r="254" spans="1:16" ht="19.5" customHeight="1">
      <c r="A254" s="26"/>
      <c r="B254" s="27"/>
      <c r="C254" s="30"/>
      <c r="D254" s="31">
        <f t="shared" si="39"/>
        <v>0</v>
      </c>
      <c r="E254" s="29"/>
      <c r="F254" s="29"/>
      <c r="G254" s="29"/>
      <c r="H254" s="29"/>
      <c r="I254" s="4"/>
      <c r="J254" s="29"/>
      <c r="K254" s="16" t="str">
        <f t="shared" si="40"/>
        <v/>
      </c>
      <c r="L254" s="29"/>
      <c r="M254" s="62"/>
      <c r="N254" s="14" t="e">
        <f>VLOOKUP(M254,コード!$A$2:$C$345,2,FALSE)</f>
        <v>#N/A</v>
      </c>
      <c r="O254" s="15">
        <f t="shared" si="41"/>
        <v>0</v>
      </c>
      <c r="P254" s="15"/>
    </row>
    <row r="255" spans="1:16" ht="19.5" customHeight="1">
      <c r="A255" s="26"/>
      <c r="B255" s="27"/>
      <c r="C255" s="30"/>
      <c r="D255" s="31">
        <f t="shared" si="39"/>
        <v>0</v>
      </c>
      <c r="E255" s="29"/>
      <c r="F255" s="29"/>
      <c r="G255" s="29"/>
      <c r="H255" s="29"/>
      <c r="I255" s="4"/>
      <c r="J255" s="29"/>
      <c r="K255" s="16" t="str">
        <f t="shared" si="40"/>
        <v/>
      </c>
      <c r="L255" s="29"/>
      <c r="M255" s="62"/>
      <c r="N255" s="14" t="e">
        <f>VLOOKUP(M255,コード!$A$2:$C$345,2,FALSE)</f>
        <v>#N/A</v>
      </c>
      <c r="O255" s="15">
        <f t="shared" si="41"/>
        <v>0</v>
      </c>
      <c r="P255" s="15"/>
    </row>
    <row r="256" spans="1:16" ht="19.5" customHeight="1">
      <c r="A256" s="26"/>
      <c r="B256" s="27"/>
      <c r="C256" s="30"/>
      <c r="D256" s="31">
        <f t="shared" si="39"/>
        <v>0</v>
      </c>
      <c r="E256" s="29"/>
      <c r="F256" s="29"/>
      <c r="G256" s="29"/>
      <c r="H256" s="29"/>
      <c r="I256" s="4"/>
      <c r="J256" s="29"/>
      <c r="K256" s="16" t="str">
        <f t="shared" si="40"/>
        <v/>
      </c>
      <c r="L256" s="29"/>
      <c r="M256" s="62"/>
      <c r="N256" s="14" t="e">
        <f>VLOOKUP(M256,コード!$A$2:$C$345,2,FALSE)</f>
        <v>#N/A</v>
      </c>
      <c r="O256" s="15">
        <f t="shared" si="41"/>
        <v>0</v>
      </c>
      <c r="P256" s="15"/>
    </row>
    <row r="257" spans="1:16" ht="19.5" customHeight="1">
      <c r="A257" s="26"/>
      <c r="B257" s="27"/>
      <c r="C257" s="30"/>
      <c r="D257" s="31">
        <f t="shared" si="39"/>
        <v>0</v>
      </c>
      <c r="E257" s="29"/>
      <c r="F257" s="29"/>
      <c r="G257" s="29"/>
      <c r="H257" s="29"/>
      <c r="I257" s="4"/>
      <c r="J257" s="29"/>
      <c r="K257" s="16" t="str">
        <f t="shared" si="40"/>
        <v/>
      </c>
      <c r="L257" s="29"/>
      <c r="M257" s="62"/>
      <c r="N257" s="14" t="e">
        <f>VLOOKUP(M257,コード!$A$2:$C$345,2,FALSE)</f>
        <v>#N/A</v>
      </c>
      <c r="O257" s="15">
        <f t="shared" si="41"/>
        <v>0</v>
      </c>
      <c r="P257" s="15"/>
    </row>
    <row r="258" spans="1:16" ht="19.5" customHeight="1">
      <c r="A258" s="26"/>
      <c r="B258" s="27"/>
      <c r="C258" s="30"/>
      <c r="D258" s="31">
        <f t="shared" si="39"/>
        <v>0</v>
      </c>
      <c r="E258" s="29"/>
      <c r="F258" s="29"/>
      <c r="G258" s="29"/>
      <c r="H258" s="29"/>
      <c r="I258" s="4"/>
      <c r="J258" s="29"/>
      <c r="K258" s="16" t="str">
        <f t="shared" si="40"/>
        <v/>
      </c>
      <c r="L258" s="29"/>
      <c r="M258" s="62"/>
      <c r="N258" s="14" t="e">
        <f>VLOOKUP(M258,コード!$A$2:$C$345,2,FALSE)</f>
        <v>#N/A</v>
      </c>
      <c r="O258" s="15">
        <f t="shared" si="41"/>
        <v>0</v>
      </c>
      <c r="P258" s="15"/>
    </row>
    <row r="259" spans="1:16" ht="19.5" customHeight="1">
      <c r="A259" s="26"/>
      <c r="B259" s="27"/>
      <c r="C259" s="30"/>
      <c r="D259" s="31">
        <f t="shared" si="39"/>
        <v>0</v>
      </c>
      <c r="E259" s="29"/>
      <c r="F259" s="29"/>
      <c r="G259" s="29"/>
      <c r="H259" s="29"/>
      <c r="I259" s="4"/>
      <c r="J259" s="29"/>
      <c r="K259" s="16" t="str">
        <f t="shared" si="40"/>
        <v/>
      </c>
      <c r="L259" s="29"/>
      <c r="M259" s="62"/>
      <c r="N259" s="14" t="e">
        <f>VLOOKUP(M259,コード!$A$2:$C$345,2,FALSE)</f>
        <v>#N/A</v>
      </c>
      <c r="O259" s="15">
        <f t="shared" si="41"/>
        <v>0</v>
      </c>
      <c r="P259" s="15"/>
    </row>
    <row r="260" spans="1:16" ht="19.5" customHeight="1">
      <c r="A260" s="26"/>
      <c r="B260" s="27"/>
      <c r="C260" s="30"/>
      <c r="D260" s="31">
        <f t="shared" si="39"/>
        <v>0</v>
      </c>
      <c r="E260" s="29"/>
      <c r="F260" s="29"/>
      <c r="G260" s="29"/>
      <c r="H260" s="29"/>
      <c r="I260" s="4"/>
      <c r="J260" s="29"/>
      <c r="K260" s="16" t="str">
        <f t="shared" si="40"/>
        <v/>
      </c>
      <c r="L260" s="29"/>
      <c r="M260" s="62"/>
      <c r="N260" s="14" t="e">
        <f>VLOOKUP(M260,コード!$A$2:$C$345,2,FALSE)</f>
        <v>#N/A</v>
      </c>
      <c r="O260" s="15">
        <f t="shared" si="41"/>
        <v>0</v>
      </c>
      <c r="P260" s="15"/>
    </row>
    <row r="261" spans="1:16" ht="19.5" customHeight="1">
      <c r="A261" s="26"/>
      <c r="B261" s="27"/>
      <c r="C261" s="30"/>
      <c r="D261" s="31">
        <f t="shared" si="39"/>
        <v>0</v>
      </c>
      <c r="E261" s="29"/>
      <c r="F261" s="29"/>
      <c r="G261" s="29"/>
      <c r="H261" s="29"/>
      <c r="I261" s="4"/>
      <c r="J261" s="29"/>
      <c r="K261" s="16" t="str">
        <f t="shared" si="40"/>
        <v/>
      </c>
      <c r="L261" s="29"/>
      <c r="M261" s="62"/>
      <c r="N261" s="14" t="e">
        <f>VLOOKUP(M261,コード!$A$2:$C$345,2,FALSE)</f>
        <v>#N/A</v>
      </c>
      <c r="O261" s="15">
        <f t="shared" si="41"/>
        <v>0</v>
      </c>
      <c r="P261" s="15"/>
    </row>
    <row r="262" spans="1:16" ht="19.5" customHeight="1">
      <c r="A262" s="26"/>
      <c r="B262" s="27"/>
      <c r="C262" s="30"/>
      <c r="D262" s="31">
        <f t="shared" si="39"/>
        <v>0</v>
      </c>
      <c r="E262" s="29"/>
      <c r="F262" s="29"/>
      <c r="G262" s="29"/>
      <c r="H262" s="29"/>
      <c r="I262" s="4"/>
      <c r="J262" s="29"/>
      <c r="K262" s="16" t="str">
        <f t="shared" si="40"/>
        <v/>
      </c>
      <c r="L262" s="29"/>
      <c r="M262" s="62"/>
      <c r="N262" s="14" t="e">
        <f>VLOOKUP(M262,コード!$A$2:$C$345,2,FALSE)</f>
        <v>#N/A</v>
      </c>
      <c r="O262" s="15">
        <f t="shared" si="41"/>
        <v>0</v>
      </c>
      <c r="P262" s="15"/>
    </row>
    <row r="263" spans="1:16" ht="19.5" customHeight="1">
      <c r="A263" s="26"/>
      <c r="B263" s="27"/>
      <c r="C263" s="30"/>
      <c r="D263" s="31">
        <f t="shared" si="39"/>
        <v>0</v>
      </c>
      <c r="E263" s="29"/>
      <c r="F263" s="29"/>
      <c r="G263" s="29"/>
      <c r="H263" s="29"/>
      <c r="I263" s="4"/>
      <c r="J263" s="29"/>
      <c r="K263" s="16" t="str">
        <f t="shared" si="40"/>
        <v/>
      </c>
      <c r="L263" s="29"/>
      <c r="M263" s="62"/>
      <c r="N263" s="14" t="e">
        <f>VLOOKUP(M263,コード!$A$2:$C$345,2,FALSE)</f>
        <v>#N/A</v>
      </c>
      <c r="O263" s="15">
        <f t="shared" si="41"/>
        <v>0</v>
      </c>
      <c r="P263" s="15"/>
    </row>
    <row r="264" spans="1:16" ht="19.5" customHeight="1">
      <c r="A264" s="26"/>
      <c r="B264" s="27"/>
      <c r="C264" s="30"/>
      <c r="D264" s="31">
        <f t="shared" si="39"/>
        <v>0</v>
      </c>
      <c r="E264" s="29"/>
      <c r="F264" s="29"/>
      <c r="G264" s="29"/>
      <c r="H264" s="29"/>
      <c r="I264" s="4"/>
      <c r="J264" s="29"/>
      <c r="K264" s="16" t="str">
        <f t="shared" si="40"/>
        <v/>
      </c>
      <c r="L264" s="29"/>
      <c r="M264" s="62"/>
      <c r="N264" s="14" t="e">
        <f>VLOOKUP(M264,コード!$A$2:$C$345,2,FALSE)</f>
        <v>#N/A</v>
      </c>
      <c r="O264" s="15">
        <f t="shared" si="41"/>
        <v>0</v>
      </c>
      <c r="P264" s="15"/>
    </row>
    <row r="265" spans="1:16" ht="19.5" customHeight="1">
      <c r="A265" s="26"/>
      <c r="B265" s="27"/>
      <c r="C265" s="30"/>
      <c r="D265" s="31">
        <f t="shared" si="39"/>
        <v>0</v>
      </c>
      <c r="E265" s="29"/>
      <c r="F265" s="29"/>
      <c r="G265" s="29"/>
      <c r="H265" s="29"/>
      <c r="I265" s="4"/>
      <c r="J265" s="29"/>
      <c r="K265" s="16" t="str">
        <f t="shared" si="40"/>
        <v/>
      </c>
      <c r="L265" s="29"/>
      <c r="M265" s="62"/>
      <c r="N265" s="14" t="e">
        <f>VLOOKUP(M265,コード!$A$2:$C$345,2,FALSE)</f>
        <v>#N/A</v>
      </c>
      <c r="O265" s="15">
        <f t="shared" si="41"/>
        <v>0</v>
      </c>
      <c r="P265" s="15"/>
    </row>
    <row r="266" spans="1:16" ht="19.5" customHeight="1">
      <c r="A266" s="26"/>
      <c r="B266" s="27"/>
      <c r="C266" s="30"/>
      <c r="D266" s="31">
        <f t="shared" si="39"/>
        <v>0</v>
      </c>
      <c r="E266" s="29"/>
      <c r="F266" s="29"/>
      <c r="G266" s="29"/>
      <c r="H266" s="29"/>
      <c r="I266" s="4"/>
      <c r="J266" s="29"/>
      <c r="K266" s="16" t="str">
        <f t="shared" si="40"/>
        <v/>
      </c>
      <c r="L266" s="29"/>
      <c r="M266" s="62"/>
      <c r="N266" s="14" t="e">
        <f>VLOOKUP(M266,コード!$A$2:$C$345,2,FALSE)</f>
        <v>#N/A</v>
      </c>
      <c r="O266" s="15">
        <f t="shared" si="41"/>
        <v>0</v>
      </c>
      <c r="P266" s="15"/>
    </row>
    <row r="267" spans="1:16" ht="19.5" customHeight="1">
      <c r="A267" s="26"/>
      <c r="B267" s="27"/>
      <c r="C267" s="30"/>
      <c r="D267" s="31">
        <f t="shared" si="39"/>
        <v>0</v>
      </c>
      <c r="E267" s="29"/>
      <c r="F267" s="29"/>
      <c r="G267" s="29"/>
      <c r="H267" s="29"/>
      <c r="I267" s="4"/>
      <c r="J267" s="29"/>
      <c r="K267" s="16" t="str">
        <f t="shared" si="40"/>
        <v/>
      </c>
      <c r="L267" s="29"/>
      <c r="M267" s="62"/>
      <c r="N267" s="14" t="e">
        <f>VLOOKUP(M267,コード!$A$2:$C$345,2,FALSE)</f>
        <v>#N/A</v>
      </c>
      <c r="O267" s="15">
        <f t="shared" si="41"/>
        <v>0</v>
      </c>
      <c r="P267" s="15"/>
    </row>
    <row r="268" spans="1:16" ht="19.5" customHeight="1">
      <c r="A268" s="26"/>
      <c r="B268" s="27"/>
      <c r="C268" s="30"/>
      <c r="D268" s="31">
        <f t="shared" si="39"/>
        <v>0</v>
      </c>
      <c r="E268" s="29"/>
      <c r="F268" s="29"/>
      <c r="G268" s="29"/>
      <c r="H268" s="29"/>
      <c r="I268" s="4"/>
      <c r="J268" s="29"/>
      <c r="K268" s="16" t="str">
        <f t="shared" si="40"/>
        <v/>
      </c>
      <c r="L268" s="29"/>
      <c r="M268" s="62"/>
      <c r="N268" s="14" t="e">
        <f>VLOOKUP(M268,コード!$A$2:$C$345,2,FALSE)</f>
        <v>#N/A</v>
      </c>
      <c r="O268" s="15">
        <f t="shared" si="41"/>
        <v>0</v>
      </c>
      <c r="P268" s="15"/>
    </row>
    <row r="269" spans="1:16" ht="19.5" customHeight="1">
      <c r="A269" s="26"/>
      <c r="B269" s="27"/>
      <c r="C269" s="30"/>
      <c r="D269" s="31">
        <f t="shared" si="39"/>
        <v>0</v>
      </c>
      <c r="E269" s="29"/>
      <c r="F269" s="29"/>
      <c r="G269" s="29"/>
      <c r="H269" s="29"/>
      <c r="I269" s="4"/>
      <c r="J269" s="29"/>
      <c r="K269" s="16" t="str">
        <f t="shared" si="40"/>
        <v/>
      </c>
      <c r="L269" s="29"/>
      <c r="M269" s="62"/>
      <c r="N269" s="14" t="e">
        <f>VLOOKUP(M269,コード!$A$2:$C$345,2,FALSE)</f>
        <v>#N/A</v>
      </c>
      <c r="O269" s="15">
        <f t="shared" si="41"/>
        <v>0</v>
      </c>
      <c r="P269" s="15"/>
    </row>
    <row r="270" spans="1:16" ht="19.5" customHeight="1">
      <c r="A270" s="26"/>
      <c r="B270" s="27"/>
      <c r="C270" s="30"/>
      <c r="D270" s="31">
        <f t="shared" si="39"/>
        <v>0</v>
      </c>
      <c r="E270" s="29"/>
      <c r="F270" s="29"/>
      <c r="G270" s="29"/>
      <c r="H270" s="29"/>
      <c r="I270" s="4"/>
      <c r="J270" s="29"/>
      <c r="K270" s="16" t="str">
        <f t="shared" si="40"/>
        <v/>
      </c>
      <c r="L270" s="29"/>
      <c r="M270" s="62"/>
      <c r="N270" s="14" t="e">
        <f>VLOOKUP(M270,コード!$A$2:$C$345,2,FALSE)</f>
        <v>#N/A</v>
      </c>
      <c r="O270" s="15">
        <f t="shared" si="41"/>
        <v>0</v>
      </c>
      <c r="P270" s="15"/>
    </row>
    <row r="271" spans="1:16" ht="19.5" customHeight="1">
      <c r="A271" s="26"/>
      <c r="B271" s="27"/>
      <c r="C271" s="30"/>
      <c r="D271" s="31">
        <f t="shared" si="39"/>
        <v>0</v>
      </c>
      <c r="E271" s="29"/>
      <c r="F271" s="29"/>
      <c r="G271" s="29"/>
      <c r="H271" s="29"/>
      <c r="I271" s="4"/>
      <c r="J271" s="29"/>
      <c r="K271" s="16" t="str">
        <f t="shared" si="40"/>
        <v/>
      </c>
      <c r="L271" s="29"/>
      <c r="M271" s="62"/>
      <c r="N271" s="14" t="e">
        <f>VLOOKUP(M271,コード!$A$2:$C$345,2,FALSE)</f>
        <v>#N/A</v>
      </c>
      <c r="O271" s="15">
        <f t="shared" si="41"/>
        <v>0</v>
      </c>
      <c r="P271" s="15"/>
    </row>
    <row r="272" spans="1:16" ht="19.5" customHeight="1">
      <c r="A272" s="26"/>
      <c r="B272" s="27"/>
      <c r="C272" s="30"/>
      <c r="D272" s="31">
        <f t="shared" si="39"/>
        <v>0</v>
      </c>
      <c r="E272" s="29"/>
      <c r="F272" s="29"/>
      <c r="G272" s="29"/>
      <c r="H272" s="29"/>
      <c r="I272" s="4"/>
      <c r="J272" s="29"/>
      <c r="K272" s="16" t="str">
        <f t="shared" si="40"/>
        <v/>
      </c>
      <c r="L272" s="29"/>
      <c r="M272" s="62"/>
      <c r="N272" s="14" t="e">
        <f>VLOOKUP(M272,コード!$A$2:$C$345,2,FALSE)</f>
        <v>#N/A</v>
      </c>
      <c r="O272" s="15">
        <f t="shared" si="41"/>
        <v>0</v>
      </c>
      <c r="P272" s="15"/>
    </row>
    <row r="273" spans="1:16" ht="19.5" customHeight="1">
      <c r="A273" s="26"/>
      <c r="B273" s="27"/>
      <c r="C273" s="30"/>
      <c r="D273" s="31">
        <f t="shared" si="39"/>
        <v>0</v>
      </c>
      <c r="E273" s="29"/>
      <c r="F273" s="29"/>
      <c r="G273" s="29"/>
      <c r="H273" s="29"/>
      <c r="I273" s="4"/>
      <c r="J273" s="29"/>
      <c r="K273" s="16" t="str">
        <f t="shared" si="40"/>
        <v/>
      </c>
      <c r="L273" s="29"/>
      <c r="M273" s="62"/>
      <c r="N273" s="14" t="e">
        <f>VLOOKUP(M273,コード!$A$2:$C$345,2,FALSE)</f>
        <v>#N/A</v>
      </c>
      <c r="O273" s="15">
        <f t="shared" si="41"/>
        <v>0</v>
      </c>
      <c r="P273" s="15"/>
    </row>
    <row r="274" spans="1:16" ht="19.5" customHeight="1">
      <c r="A274" s="26"/>
      <c r="B274" s="27"/>
      <c r="C274" s="30"/>
      <c r="D274" s="31">
        <f t="shared" si="39"/>
        <v>0</v>
      </c>
      <c r="E274" s="29"/>
      <c r="F274" s="29"/>
      <c r="G274" s="29"/>
      <c r="H274" s="29"/>
      <c r="I274" s="4"/>
      <c r="J274" s="29"/>
      <c r="K274" s="16" t="str">
        <f t="shared" si="40"/>
        <v/>
      </c>
      <c r="L274" s="29"/>
      <c r="M274" s="62"/>
      <c r="N274" s="14" t="e">
        <f>VLOOKUP(M274,コード!$A$2:$C$345,2,FALSE)</f>
        <v>#N/A</v>
      </c>
      <c r="O274" s="15">
        <f t="shared" si="41"/>
        <v>0</v>
      </c>
      <c r="P274" s="15"/>
    </row>
    <row r="275" spans="1:16" ht="19.5" customHeight="1">
      <c r="A275" s="26"/>
      <c r="B275" s="27"/>
      <c r="C275" s="30"/>
      <c r="D275" s="31">
        <f t="shared" si="39"/>
        <v>0</v>
      </c>
      <c r="E275" s="29"/>
      <c r="F275" s="29"/>
      <c r="G275" s="29"/>
      <c r="H275" s="29"/>
      <c r="I275" s="4"/>
      <c r="J275" s="29"/>
      <c r="K275" s="16" t="str">
        <f t="shared" si="40"/>
        <v/>
      </c>
      <c r="L275" s="29"/>
      <c r="M275" s="62"/>
      <c r="N275" s="14" t="e">
        <f>VLOOKUP(M275,コード!$A$2:$C$345,2,FALSE)</f>
        <v>#N/A</v>
      </c>
      <c r="O275" s="15">
        <f t="shared" si="41"/>
        <v>0</v>
      </c>
      <c r="P275" s="15"/>
    </row>
    <row r="276" spans="1:16" ht="19.5" customHeight="1">
      <c r="A276" s="26"/>
      <c r="B276" s="27"/>
      <c r="C276" s="30"/>
      <c r="D276" s="31">
        <f t="shared" si="39"/>
        <v>0</v>
      </c>
      <c r="E276" s="29"/>
      <c r="F276" s="29"/>
      <c r="G276" s="29"/>
      <c r="H276" s="29"/>
      <c r="I276" s="4"/>
      <c r="J276" s="29"/>
      <c r="K276" s="16" t="str">
        <f t="shared" si="40"/>
        <v/>
      </c>
      <c r="L276" s="29"/>
      <c r="M276" s="62"/>
      <c r="N276" s="14" t="e">
        <f>VLOOKUP(M276,コード!$A$2:$C$345,2,FALSE)</f>
        <v>#N/A</v>
      </c>
      <c r="O276" s="15">
        <f t="shared" si="41"/>
        <v>0</v>
      </c>
      <c r="P276" s="15"/>
    </row>
    <row r="277" spans="1:16" ht="19.5" customHeight="1">
      <c r="A277" s="26"/>
      <c r="B277" s="27"/>
      <c r="C277" s="30"/>
      <c r="D277" s="31">
        <f t="shared" si="39"/>
        <v>0</v>
      </c>
      <c r="E277" s="29"/>
      <c r="F277" s="29"/>
      <c r="G277" s="29"/>
      <c r="H277" s="29"/>
      <c r="I277" s="4"/>
      <c r="J277" s="29"/>
      <c r="K277" s="16" t="str">
        <f t="shared" si="40"/>
        <v/>
      </c>
      <c r="L277" s="29"/>
      <c r="M277" s="62"/>
      <c r="N277" s="14" t="e">
        <f>VLOOKUP(M277,コード!$A$2:$C$345,2,FALSE)</f>
        <v>#N/A</v>
      </c>
      <c r="O277" s="15">
        <f t="shared" si="41"/>
        <v>0</v>
      </c>
      <c r="P277" s="15"/>
    </row>
    <row r="278" spans="1:16" ht="19.5" customHeight="1">
      <c r="A278" s="26"/>
      <c r="B278" s="27"/>
      <c r="C278" s="30"/>
      <c r="D278" s="31">
        <f t="shared" si="39"/>
        <v>0</v>
      </c>
      <c r="E278" s="29"/>
      <c r="F278" s="29"/>
      <c r="G278" s="29"/>
      <c r="H278" s="29"/>
      <c r="I278" s="4"/>
      <c r="J278" s="29"/>
      <c r="K278" s="16" t="str">
        <f t="shared" si="40"/>
        <v/>
      </c>
      <c r="L278" s="29"/>
      <c r="M278" s="62"/>
      <c r="N278" s="14" t="e">
        <f>VLOOKUP(M278,コード!$A$2:$C$345,2,FALSE)</f>
        <v>#N/A</v>
      </c>
      <c r="O278" s="15">
        <f t="shared" si="41"/>
        <v>0</v>
      </c>
      <c r="P278" s="15"/>
    </row>
    <row r="279" spans="1:16" ht="19.5" customHeight="1">
      <c r="A279" s="26"/>
      <c r="B279" s="27"/>
      <c r="C279" s="30"/>
      <c r="D279" s="31">
        <f t="shared" si="39"/>
        <v>0</v>
      </c>
      <c r="E279" s="29"/>
      <c r="F279" s="29"/>
      <c r="G279" s="29"/>
      <c r="H279" s="29"/>
      <c r="I279" s="4"/>
      <c r="J279" s="29"/>
      <c r="K279" s="16" t="str">
        <f t="shared" si="40"/>
        <v/>
      </c>
      <c r="L279" s="29"/>
      <c r="M279" s="62"/>
      <c r="N279" s="14" t="e">
        <f>VLOOKUP(M279,コード!$A$2:$C$345,2,FALSE)</f>
        <v>#N/A</v>
      </c>
      <c r="O279" s="15">
        <f t="shared" si="41"/>
        <v>0</v>
      </c>
      <c r="P279" s="15"/>
    </row>
    <row r="280" spans="1:16" ht="19.5" customHeight="1">
      <c r="A280" s="26"/>
      <c r="B280" s="27"/>
      <c r="C280" s="30"/>
      <c r="D280" s="31">
        <f t="shared" si="39"/>
        <v>0</v>
      </c>
      <c r="E280" s="29"/>
      <c r="F280" s="29"/>
      <c r="G280" s="29"/>
      <c r="H280" s="29"/>
      <c r="I280" s="4"/>
      <c r="J280" s="29"/>
      <c r="K280" s="16" t="str">
        <f t="shared" si="40"/>
        <v/>
      </c>
      <c r="L280" s="29"/>
      <c r="M280" s="62"/>
      <c r="N280" s="14" t="e">
        <f>VLOOKUP(M280,コード!$A$2:$C$345,2,FALSE)</f>
        <v>#N/A</v>
      </c>
      <c r="O280" s="15">
        <f t="shared" si="41"/>
        <v>0</v>
      </c>
      <c r="P280" s="15"/>
    </row>
    <row r="281" spans="1:16" ht="19.5" customHeight="1">
      <c r="A281" s="26"/>
      <c r="B281" s="27"/>
      <c r="C281" s="30"/>
      <c r="D281" s="31">
        <f t="shared" si="39"/>
        <v>0</v>
      </c>
      <c r="E281" s="29"/>
      <c r="F281" s="29"/>
      <c r="G281" s="29"/>
      <c r="H281" s="29"/>
      <c r="I281" s="4"/>
      <c r="J281" s="29"/>
      <c r="K281" s="16" t="str">
        <f t="shared" si="40"/>
        <v/>
      </c>
      <c r="L281" s="29"/>
      <c r="M281" s="62"/>
      <c r="N281" s="14" t="e">
        <f>VLOOKUP(M281,コード!$A$2:$C$345,2,FALSE)</f>
        <v>#N/A</v>
      </c>
      <c r="O281" s="15">
        <f t="shared" si="41"/>
        <v>0</v>
      </c>
      <c r="P281" s="15"/>
    </row>
    <row r="282" spans="1:16" ht="19.5" customHeight="1">
      <c r="A282" s="26"/>
      <c r="B282" s="27"/>
      <c r="C282" s="30"/>
      <c r="D282" s="31">
        <f t="shared" si="39"/>
        <v>0</v>
      </c>
      <c r="E282" s="29"/>
      <c r="F282" s="29"/>
      <c r="G282" s="29"/>
      <c r="H282" s="29"/>
      <c r="I282" s="4"/>
      <c r="J282" s="29"/>
      <c r="K282" s="16" t="str">
        <f t="shared" si="40"/>
        <v/>
      </c>
      <c r="L282" s="29"/>
      <c r="M282" s="62"/>
      <c r="N282" s="14" t="e">
        <f>VLOOKUP(M282,コード!$A$2:$C$345,2,FALSE)</f>
        <v>#N/A</v>
      </c>
      <c r="O282" s="15">
        <f t="shared" si="41"/>
        <v>0</v>
      </c>
      <c r="P282" s="15"/>
    </row>
    <row r="283" spans="1:16" ht="19.5" customHeight="1">
      <c r="A283" s="26"/>
      <c r="B283" s="27"/>
      <c r="C283" s="30"/>
      <c r="D283" s="31">
        <f t="shared" si="39"/>
        <v>0</v>
      </c>
      <c r="E283" s="29"/>
      <c r="F283" s="29"/>
      <c r="G283" s="29"/>
      <c r="H283" s="29"/>
      <c r="I283" s="4"/>
      <c r="J283" s="29"/>
      <c r="K283" s="16" t="str">
        <f t="shared" si="40"/>
        <v/>
      </c>
      <c r="L283" s="29"/>
      <c r="M283" s="62"/>
      <c r="N283" s="14" t="e">
        <f>VLOOKUP(M283,コード!$A$2:$C$345,2,FALSE)</f>
        <v>#N/A</v>
      </c>
      <c r="O283" s="15">
        <f t="shared" si="41"/>
        <v>0</v>
      </c>
      <c r="P283" s="15"/>
    </row>
    <row r="284" spans="1:16" ht="19.5" customHeight="1">
      <c r="A284" s="26"/>
      <c r="B284" s="27"/>
      <c r="C284" s="30"/>
      <c r="D284" s="31">
        <f t="shared" si="39"/>
        <v>0</v>
      </c>
      <c r="E284" s="29"/>
      <c r="F284" s="29"/>
      <c r="G284" s="29"/>
      <c r="H284" s="29"/>
      <c r="I284" s="4"/>
      <c r="J284" s="29"/>
      <c r="K284" s="16" t="str">
        <f t="shared" si="40"/>
        <v/>
      </c>
      <c r="L284" s="29"/>
      <c r="M284" s="62"/>
      <c r="N284" s="14" t="e">
        <f>VLOOKUP(M284,コード!$A$2:$C$345,2,FALSE)</f>
        <v>#N/A</v>
      </c>
      <c r="O284" s="15">
        <f t="shared" si="41"/>
        <v>0</v>
      </c>
      <c r="P284" s="15"/>
    </row>
    <row r="285" spans="1:16" ht="19.5" customHeight="1">
      <c r="A285" s="26"/>
      <c r="B285" s="27"/>
      <c r="C285" s="30"/>
      <c r="D285" s="31">
        <f t="shared" ref="D285:D339" si="42">ROUNDUP((B285+C285)/8,3)</f>
        <v>0</v>
      </c>
      <c r="E285" s="29"/>
      <c r="F285" s="29"/>
      <c r="G285" s="29"/>
      <c r="H285" s="29"/>
      <c r="I285" s="4"/>
      <c r="J285" s="29"/>
      <c r="K285" s="16" t="str">
        <f t="shared" ref="K285:K339" si="43">F285&amp;G285</f>
        <v/>
      </c>
      <c r="L285" s="29"/>
      <c r="M285" s="62"/>
      <c r="N285" s="14" t="e">
        <f>VLOOKUP(M285,コード!$A$2:$C$345,2,FALSE)</f>
        <v>#N/A</v>
      </c>
      <c r="O285" s="15">
        <f t="shared" ref="O285:O339" si="44">I285</f>
        <v>0</v>
      </c>
      <c r="P285" s="15"/>
    </row>
    <row r="286" spans="1:16" ht="19.5" customHeight="1">
      <c r="A286" s="26"/>
      <c r="B286" s="27"/>
      <c r="C286" s="30"/>
      <c r="D286" s="31">
        <f t="shared" si="42"/>
        <v>0</v>
      </c>
      <c r="E286" s="29"/>
      <c r="F286" s="29"/>
      <c r="G286" s="29"/>
      <c r="H286" s="29"/>
      <c r="I286" s="4"/>
      <c r="J286" s="29"/>
      <c r="K286" s="16" t="str">
        <f t="shared" si="43"/>
        <v/>
      </c>
      <c r="L286" s="29"/>
      <c r="M286" s="62"/>
      <c r="N286" s="14" t="e">
        <f>VLOOKUP(M286,コード!$A$2:$C$345,2,FALSE)</f>
        <v>#N/A</v>
      </c>
      <c r="O286" s="15">
        <f t="shared" si="44"/>
        <v>0</v>
      </c>
      <c r="P286" s="15"/>
    </row>
    <row r="287" spans="1:16" ht="19.5" customHeight="1">
      <c r="A287" s="26"/>
      <c r="B287" s="27"/>
      <c r="C287" s="30"/>
      <c r="D287" s="31">
        <f t="shared" si="42"/>
        <v>0</v>
      </c>
      <c r="E287" s="29"/>
      <c r="F287" s="29"/>
      <c r="G287" s="29"/>
      <c r="H287" s="29"/>
      <c r="I287" s="4"/>
      <c r="J287" s="29"/>
      <c r="K287" s="16" t="str">
        <f t="shared" si="43"/>
        <v/>
      </c>
      <c r="L287" s="29"/>
      <c r="M287" s="62"/>
      <c r="N287" s="14" t="e">
        <f>VLOOKUP(M287,コード!$A$2:$C$345,2,FALSE)</f>
        <v>#N/A</v>
      </c>
      <c r="O287" s="15">
        <f t="shared" si="44"/>
        <v>0</v>
      </c>
      <c r="P287" s="15"/>
    </row>
    <row r="288" spans="1:16" ht="19.5" customHeight="1">
      <c r="A288" s="26"/>
      <c r="B288" s="27"/>
      <c r="C288" s="30"/>
      <c r="D288" s="31">
        <f t="shared" si="42"/>
        <v>0</v>
      </c>
      <c r="E288" s="29"/>
      <c r="F288" s="29"/>
      <c r="G288" s="29"/>
      <c r="H288" s="29"/>
      <c r="I288" s="4"/>
      <c r="J288" s="29"/>
      <c r="K288" s="16" t="str">
        <f t="shared" si="43"/>
        <v/>
      </c>
      <c r="L288" s="29"/>
      <c r="M288" s="62"/>
      <c r="N288" s="14" t="e">
        <f>VLOOKUP(M288,コード!$A$2:$C$345,2,FALSE)</f>
        <v>#N/A</v>
      </c>
      <c r="O288" s="15">
        <f t="shared" si="44"/>
        <v>0</v>
      </c>
      <c r="P288" s="15"/>
    </row>
    <row r="289" spans="1:16" ht="19.5" customHeight="1">
      <c r="A289" s="26"/>
      <c r="B289" s="27"/>
      <c r="C289" s="30"/>
      <c r="D289" s="31">
        <f t="shared" si="42"/>
        <v>0</v>
      </c>
      <c r="E289" s="29"/>
      <c r="F289" s="29"/>
      <c r="G289" s="29"/>
      <c r="H289" s="29"/>
      <c r="I289" s="4"/>
      <c r="J289" s="29"/>
      <c r="K289" s="16" t="str">
        <f t="shared" si="43"/>
        <v/>
      </c>
      <c r="L289" s="29"/>
      <c r="M289" s="62"/>
      <c r="N289" s="14" t="e">
        <f>VLOOKUP(M289,コード!$A$2:$C$345,2,FALSE)</f>
        <v>#N/A</v>
      </c>
      <c r="O289" s="15">
        <f t="shared" si="44"/>
        <v>0</v>
      </c>
      <c r="P289" s="15"/>
    </row>
    <row r="290" spans="1:16" ht="19.5" customHeight="1">
      <c r="A290" s="26"/>
      <c r="B290" s="27"/>
      <c r="C290" s="30"/>
      <c r="D290" s="31">
        <f t="shared" si="42"/>
        <v>0</v>
      </c>
      <c r="E290" s="29"/>
      <c r="F290" s="29"/>
      <c r="G290" s="29"/>
      <c r="H290" s="29"/>
      <c r="I290" s="4"/>
      <c r="J290" s="29"/>
      <c r="K290" s="16" t="str">
        <f t="shared" si="43"/>
        <v/>
      </c>
      <c r="L290" s="29"/>
      <c r="M290" s="62"/>
      <c r="N290" s="14" t="e">
        <f>VLOOKUP(M290,コード!$A$2:$C$345,2,FALSE)</f>
        <v>#N/A</v>
      </c>
      <c r="O290" s="15">
        <f t="shared" si="44"/>
        <v>0</v>
      </c>
      <c r="P290" s="15"/>
    </row>
    <row r="291" spans="1:16" ht="19.5" customHeight="1">
      <c r="A291" s="26"/>
      <c r="B291" s="27"/>
      <c r="C291" s="30"/>
      <c r="D291" s="31">
        <f t="shared" si="42"/>
        <v>0</v>
      </c>
      <c r="E291" s="29"/>
      <c r="F291" s="29"/>
      <c r="G291" s="29"/>
      <c r="H291" s="29"/>
      <c r="I291" s="4"/>
      <c r="J291" s="29"/>
      <c r="K291" s="16" t="str">
        <f t="shared" si="43"/>
        <v/>
      </c>
      <c r="L291" s="29"/>
      <c r="M291" s="62"/>
      <c r="N291" s="14" t="e">
        <f>VLOOKUP(M291,コード!$A$2:$C$345,2,FALSE)</f>
        <v>#N/A</v>
      </c>
      <c r="O291" s="15">
        <f t="shared" si="44"/>
        <v>0</v>
      </c>
      <c r="P291" s="15"/>
    </row>
    <row r="292" spans="1:16" ht="19.5" customHeight="1">
      <c r="A292" s="26"/>
      <c r="B292" s="27"/>
      <c r="C292" s="30"/>
      <c r="D292" s="31">
        <f t="shared" si="42"/>
        <v>0</v>
      </c>
      <c r="E292" s="29"/>
      <c r="F292" s="29"/>
      <c r="G292" s="29"/>
      <c r="H292" s="29"/>
      <c r="I292" s="4"/>
      <c r="J292" s="29"/>
      <c r="K292" s="16" t="str">
        <f t="shared" si="43"/>
        <v/>
      </c>
      <c r="L292" s="29"/>
      <c r="M292" s="62"/>
      <c r="N292" s="14" t="e">
        <f>VLOOKUP(M292,コード!$A$2:$C$345,2,FALSE)</f>
        <v>#N/A</v>
      </c>
      <c r="O292" s="15">
        <f t="shared" si="44"/>
        <v>0</v>
      </c>
      <c r="P292" s="15"/>
    </row>
    <row r="293" spans="1:16" ht="19.5" customHeight="1">
      <c r="A293" s="26"/>
      <c r="B293" s="27"/>
      <c r="C293" s="30"/>
      <c r="D293" s="31">
        <f t="shared" si="42"/>
        <v>0</v>
      </c>
      <c r="E293" s="29"/>
      <c r="F293" s="29"/>
      <c r="G293" s="29"/>
      <c r="H293" s="29"/>
      <c r="I293" s="4"/>
      <c r="J293" s="29"/>
      <c r="K293" s="16" t="str">
        <f t="shared" si="43"/>
        <v/>
      </c>
      <c r="L293" s="29"/>
      <c r="M293" s="62"/>
      <c r="N293" s="14" t="e">
        <f>VLOOKUP(M293,コード!$A$2:$C$345,2,FALSE)</f>
        <v>#N/A</v>
      </c>
      <c r="O293" s="15">
        <f t="shared" si="44"/>
        <v>0</v>
      </c>
      <c r="P293" s="15"/>
    </row>
    <row r="294" spans="1:16" ht="19.5" customHeight="1">
      <c r="A294" s="26"/>
      <c r="B294" s="27"/>
      <c r="C294" s="30"/>
      <c r="D294" s="31">
        <f t="shared" si="42"/>
        <v>0</v>
      </c>
      <c r="E294" s="29"/>
      <c r="F294" s="29"/>
      <c r="G294" s="29"/>
      <c r="H294" s="29"/>
      <c r="I294" s="4"/>
      <c r="J294" s="29"/>
      <c r="K294" s="16" t="str">
        <f t="shared" si="43"/>
        <v/>
      </c>
      <c r="L294" s="29"/>
      <c r="M294" s="62"/>
      <c r="N294" s="14" t="e">
        <f>VLOOKUP(M294,コード!$A$2:$C$345,2,FALSE)</f>
        <v>#N/A</v>
      </c>
      <c r="O294" s="15">
        <f t="shared" si="44"/>
        <v>0</v>
      </c>
      <c r="P294" s="15"/>
    </row>
    <row r="295" spans="1:16" ht="19.5" customHeight="1">
      <c r="A295" s="26"/>
      <c r="B295" s="27"/>
      <c r="C295" s="30"/>
      <c r="D295" s="31">
        <f t="shared" si="42"/>
        <v>0</v>
      </c>
      <c r="E295" s="29"/>
      <c r="F295" s="29"/>
      <c r="G295" s="29"/>
      <c r="H295" s="29"/>
      <c r="I295" s="4"/>
      <c r="J295" s="29"/>
      <c r="K295" s="16" t="str">
        <f t="shared" si="43"/>
        <v/>
      </c>
      <c r="L295" s="29"/>
      <c r="M295" s="62"/>
      <c r="N295" s="14" t="e">
        <f>VLOOKUP(M295,コード!$A$2:$C$345,2,FALSE)</f>
        <v>#N/A</v>
      </c>
      <c r="O295" s="15">
        <f t="shared" si="44"/>
        <v>0</v>
      </c>
      <c r="P295" s="15"/>
    </row>
    <row r="296" spans="1:16" ht="19.5" customHeight="1">
      <c r="A296" s="26"/>
      <c r="B296" s="27"/>
      <c r="C296" s="30"/>
      <c r="D296" s="31">
        <f t="shared" si="42"/>
        <v>0</v>
      </c>
      <c r="E296" s="29"/>
      <c r="F296" s="29"/>
      <c r="G296" s="29"/>
      <c r="H296" s="29"/>
      <c r="I296" s="4"/>
      <c r="J296" s="29"/>
      <c r="K296" s="16" t="str">
        <f t="shared" si="43"/>
        <v/>
      </c>
      <c r="L296" s="29"/>
      <c r="M296" s="62"/>
      <c r="N296" s="14" t="e">
        <f>VLOOKUP(M296,コード!$A$2:$C$345,2,FALSE)</f>
        <v>#N/A</v>
      </c>
      <c r="O296" s="15">
        <f t="shared" si="44"/>
        <v>0</v>
      </c>
      <c r="P296" s="15"/>
    </row>
    <row r="297" spans="1:16" ht="19.5" customHeight="1">
      <c r="A297" s="26"/>
      <c r="B297" s="27"/>
      <c r="C297" s="30"/>
      <c r="D297" s="31">
        <f t="shared" si="42"/>
        <v>0</v>
      </c>
      <c r="E297" s="29"/>
      <c r="F297" s="29"/>
      <c r="G297" s="29"/>
      <c r="H297" s="29"/>
      <c r="I297" s="4"/>
      <c r="J297" s="29"/>
      <c r="K297" s="16" t="str">
        <f t="shared" si="43"/>
        <v/>
      </c>
      <c r="L297" s="29"/>
      <c r="M297" s="62"/>
      <c r="N297" s="14" t="e">
        <f>VLOOKUP(M297,コード!$A$2:$C$345,2,FALSE)</f>
        <v>#N/A</v>
      </c>
      <c r="O297" s="15">
        <f t="shared" si="44"/>
        <v>0</v>
      </c>
      <c r="P297" s="15"/>
    </row>
    <row r="298" spans="1:16" ht="19.5" customHeight="1">
      <c r="A298" s="26"/>
      <c r="B298" s="27"/>
      <c r="C298" s="30"/>
      <c r="D298" s="31">
        <f t="shared" si="42"/>
        <v>0</v>
      </c>
      <c r="E298" s="29"/>
      <c r="F298" s="29"/>
      <c r="G298" s="29"/>
      <c r="H298" s="29"/>
      <c r="I298" s="4"/>
      <c r="J298" s="29"/>
      <c r="K298" s="16" t="str">
        <f t="shared" si="43"/>
        <v/>
      </c>
      <c r="L298" s="29"/>
      <c r="M298" s="62"/>
      <c r="N298" s="14" t="e">
        <f>VLOOKUP(M298,コード!$A$2:$C$345,2,FALSE)</f>
        <v>#N/A</v>
      </c>
      <c r="O298" s="15">
        <f t="shared" si="44"/>
        <v>0</v>
      </c>
      <c r="P298" s="15"/>
    </row>
    <row r="299" spans="1:16" ht="19.5" customHeight="1">
      <c r="A299" s="26"/>
      <c r="B299" s="27"/>
      <c r="C299" s="30"/>
      <c r="D299" s="31">
        <f t="shared" si="42"/>
        <v>0</v>
      </c>
      <c r="E299" s="29"/>
      <c r="F299" s="29"/>
      <c r="G299" s="29"/>
      <c r="H299" s="29"/>
      <c r="I299" s="4"/>
      <c r="J299" s="29"/>
      <c r="K299" s="16" t="str">
        <f t="shared" si="43"/>
        <v/>
      </c>
      <c r="L299" s="29"/>
      <c r="M299" s="62"/>
      <c r="N299" s="14" t="e">
        <f>VLOOKUP(M299,コード!$A$2:$C$345,2,FALSE)</f>
        <v>#N/A</v>
      </c>
      <c r="O299" s="15">
        <f t="shared" si="44"/>
        <v>0</v>
      </c>
      <c r="P299" s="15"/>
    </row>
    <row r="300" spans="1:16" ht="19.5" customHeight="1">
      <c r="A300" s="26"/>
      <c r="B300" s="27"/>
      <c r="C300" s="30"/>
      <c r="D300" s="31">
        <f t="shared" si="42"/>
        <v>0</v>
      </c>
      <c r="E300" s="29"/>
      <c r="F300" s="29"/>
      <c r="G300" s="29"/>
      <c r="H300" s="29"/>
      <c r="I300" s="4"/>
      <c r="J300" s="29"/>
      <c r="K300" s="16" t="str">
        <f t="shared" si="43"/>
        <v/>
      </c>
      <c r="L300" s="29"/>
      <c r="M300" s="62"/>
      <c r="N300" s="14" t="e">
        <f>VLOOKUP(M300,コード!$A$2:$C$345,2,FALSE)</f>
        <v>#N/A</v>
      </c>
      <c r="O300" s="15">
        <f t="shared" si="44"/>
        <v>0</v>
      </c>
      <c r="P300" s="15"/>
    </row>
    <row r="301" spans="1:16" ht="19.5" customHeight="1">
      <c r="A301" s="26"/>
      <c r="B301" s="27"/>
      <c r="C301" s="30"/>
      <c r="D301" s="31">
        <f t="shared" si="42"/>
        <v>0</v>
      </c>
      <c r="E301" s="29"/>
      <c r="F301" s="29"/>
      <c r="G301" s="29"/>
      <c r="H301" s="29"/>
      <c r="I301" s="4"/>
      <c r="J301" s="29"/>
      <c r="K301" s="16" t="str">
        <f t="shared" si="43"/>
        <v/>
      </c>
      <c r="L301" s="29"/>
      <c r="M301" s="62"/>
      <c r="N301" s="14" t="e">
        <f>VLOOKUP(M301,コード!$A$2:$C$345,2,FALSE)</f>
        <v>#N/A</v>
      </c>
      <c r="O301" s="15">
        <f t="shared" si="44"/>
        <v>0</v>
      </c>
      <c r="P301" s="15"/>
    </row>
    <row r="302" spans="1:16" ht="19.5" customHeight="1">
      <c r="A302" s="26"/>
      <c r="B302" s="27"/>
      <c r="C302" s="30"/>
      <c r="D302" s="31">
        <f t="shared" si="42"/>
        <v>0</v>
      </c>
      <c r="E302" s="29"/>
      <c r="F302" s="29"/>
      <c r="G302" s="29"/>
      <c r="H302" s="29"/>
      <c r="I302" s="4"/>
      <c r="J302" s="29"/>
      <c r="K302" s="16" t="str">
        <f t="shared" si="43"/>
        <v/>
      </c>
      <c r="L302" s="29"/>
      <c r="M302" s="62"/>
      <c r="N302" s="14" t="e">
        <f>VLOOKUP(M302,コード!$A$2:$C$345,2,FALSE)</f>
        <v>#N/A</v>
      </c>
      <c r="O302" s="15">
        <f t="shared" si="44"/>
        <v>0</v>
      </c>
      <c r="P302" s="15"/>
    </row>
    <row r="303" spans="1:16" ht="19.5" customHeight="1">
      <c r="A303" s="26"/>
      <c r="B303" s="27"/>
      <c r="C303" s="30"/>
      <c r="D303" s="31">
        <f t="shared" si="42"/>
        <v>0</v>
      </c>
      <c r="E303" s="29"/>
      <c r="F303" s="29"/>
      <c r="G303" s="29"/>
      <c r="H303" s="29"/>
      <c r="I303" s="4"/>
      <c r="J303" s="29"/>
      <c r="K303" s="16" t="str">
        <f t="shared" si="43"/>
        <v/>
      </c>
      <c r="L303" s="29"/>
      <c r="M303" s="62"/>
      <c r="N303" s="14" t="e">
        <f>VLOOKUP(M303,コード!$A$2:$C$345,2,FALSE)</f>
        <v>#N/A</v>
      </c>
      <c r="O303" s="15">
        <f t="shared" si="44"/>
        <v>0</v>
      </c>
      <c r="P303" s="15"/>
    </row>
    <row r="304" spans="1:16" ht="19.5" customHeight="1">
      <c r="A304" s="26"/>
      <c r="B304" s="27"/>
      <c r="C304" s="30"/>
      <c r="D304" s="31">
        <f t="shared" si="42"/>
        <v>0</v>
      </c>
      <c r="E304" s="29"/>
      <c r="F304" s="29"/>
      <c r="G304" s="29"/>
      <c r="H304" s="29"/>
      <c r="I304" s="4"/>
      <c r="J304" s="29"/>
      <c r="K304" s="16" t="str">
        <f t="shared" si="43"/>
        <v/>
      </c>
      <c r="L304" s="29"/>
      <c r="M304" s="62"/>
      <c r="N304" s="14" t="e">
        <f>VLOOKUP(M304,コード!$A$2:$C$345,2,FALSE)</f>
        <v>#N/A</v>
      </c>
      <c r="O304" s="15">
        <f t="shared" si="44"/>
        <v>0</v>
      </c>
      <c r="P304" s="15"/>
    </row>
    <row r="305" spans="1:16" ht="19.5" customHeight="1">
      <c r="A305" s="26"/>
      <c r="B305" s="27"/>
      <c r="C305" s="30"/>
      <c r="D305" s="31">
        <f t="shared" si="42"/>
        <v>0</v>
      </c>
      <c r="E305" s="29"/>
      <c r="F305" s="29"/>
      <c r="G305" s="29"/>
      <c r="H305" s="29"/>
      <c r="I305" s="4"/>
      <c r="J305" s="29"/>
      <c r="K305" s="16" t="str">
        <f t="shared" si="43"/>
        <v/>
      </c>
      <c r="L305" s="29"/>
      <c r="M305" s="62"/>
      <c r="N305" s="14" t="e">
        <f>VLOOKUP(M305,コード!$A$2:$C$345,2,FALSE)</f>
        <v>#N/A</v>
      </c>
      <c r="O305" s="15">
        <f t="shared" si="44"/>
        <v>0</v>
      </c>
      <c r="P305" s="15"/>
    </row>
    <row r="306" spans="1:16" ht="19.5" customHeight="1">
      <c r="A306" s="26"/>
      <c r="B306" s="27"/>
      <c r="C306" s="30"/>
      <c r="D306" s="31">
        <f t="shared" si="42"/>
        <v>0</v>
      </c>
      <c r="E306" s="29"/>
      <c r="F306" s="29"/>
      <c r="G306" s="29"/>
      <c r="H306" s="29"/>
      <c r="I306" s="4"/>
      <c r="J306" s="29"/>
      <c r="K306" s="16" t="str">
        <f t="shared" si="43"/>
        <v/>
      </c>
      <c r="L306" s="29"/>
      <c r="M306" s="62"/>
      <c r="N306" s="14" t="e">
        <f>VLOOKUP(M306,コード!$A$2:$C$345,2,FALSE)</f>
        <v>#N/A</v>
      </c>
      <c r="O306" s="15">
        <f t="shared" si="44"/>
        <v>0</v>
      </c>
      <c r="P306" s="15"/>
    </row>
    <row r="307" spans="1:16" ht="19.5" customHeight="1">
      <c r="A307" s="26"/>
      <c r="B307" s="27"/>
      <c r="C307" s="30"/>
      <c r="D307" s="31">
        <f t="shared" si="42"/>
        <v>0</v>
      </c>
      <c r="E307" s="29"/>
      <c r="F307" s="29"/>
      <c r="G307" s="29"/>
      <c r="H307" s="29"/>
      <c r="I307" s="4"/>
      <c r="J307" s="29"/>
      <c r="K307" s="16" t="str">
        <f t="shared" si="43"/>
        <v/>
      </c>
      <c r="L307" s="29"/>
      <c r="M307" s="62"/>
      <c r="N307" s="14" t="e">
        <f>VLOOKUP(M307,コード!$A$2:$C$345,2,FALSE)</f>
        <v>#N/A</v>
      </c>
      <c r="O307" s="15">
        <f t="shared" si="44"/>
        <v>0</v>
      </c>
      <c r="P307" s="15"/>
    </row>
    <row r="308" spans="1:16" ht="19.5" customHeight="1">
      <c r="A308" s="26"/>
      <c r="B308" s="27"/>
      <c r="C308" s="30"/>
      <c r="D308" s="31">
        <f t="shared" si="42"/>
        <v>0</v>
      </c>
      <c r="E308" s="29"/>
      <c r="F308" s="29"/>
      <c r="G308" s="29"/>
      <c r="H308" s="29"/>
      <c r="I308" s="4"/>
      <c r="J308" s="29"/>
      <c r="K308" s="16" t="str">
        <f t="shared" si="43"/>
        <v/>
      </c>
      <c r="L308" s="29"/>
      <c r="M308" s="62"/>
      <c r="N308" s="14" t="e">
        <f>VLOOKUP(M308,コード!$A$2:$C$345,2,FALSE)</f>
        <v>#N/A</v>
      </c>
      <c r="O308" s="15">
        <f t="shared" si="44"/>
        <v>0</v>
      </c>
      <c r="P308" s="15"/>
    </row>
    <row r="309" spans="1:16" ht="19.5" customHeight="1">
      <c r="A309" s="26"/>
      <c r="B309" s="27"/>
      <c r="C309" s="30"/>
      <c r="D309" s="31">
        <f t="shared" si="42"/>
        <v>0</v>
      </c>
      <c r="E309" s="29"/>
      <c r="F309" s="29"/>
      <c r="G309" s="29"/>
      <c r="H309" s="29"/>
      <c r="I309" s="4"/>
      <c r="J309" s="29"/>
      <c r="K309" s="16" t="str">
        <f t="shared" si="43"/>
        <v/>
      </c>
      <c r="L309" s="29"/>
      <c r="M309" s="62"/>
      <c r="N309" s="14" t="e">
        <f>VLOOKUP(M309,コード!$A$2:$C$345,2,FALSE)</f>
        <v>#N/A</v>
      </c>
      <c r="O309" s="15">
        <f t="shared" si="44"/>
        <v>0</v>
      </c>
      <c r="P309" s="15"/>
    </row>
    <row r="310" spans="1:16" ht="19.5" customHeight="1">
      <c r="A310" s="26"/>
      <c r="B310" s="27"/>
      <c r="C310" s="30"/>
      <c r="D310" s="31">
        <f t="shared" si="42"/>
        <v>0</v>
      </c>
      <c r="E310" s="29"/>
      <c r="F310" s="29"/>
      <c r="G310" s="29"/>
      <c r="H310" s="29"/>
      <c r="I310" s="4"/>
      <c r="J310" s="29"/>
      <c r="K310" s="16" t="str">
        <f t="shared" si="43"/>
        <v/>
      </c>
      <c r="L310" s="29"/>
      <c r="M310" s="62"/>
      <c r="N310" s="14" t="e">
        <f>VLOOKUP(M310,コード!$A$2:$C$345,2,FALSE)</f>
        <v>#N/A</v>
      </c>
      <c r="O310" s="15">
        <f t="shared" si="44"/>
        <v>0</v>
      </c>
      <c r="P310" s="15"/>
    </row>
    <row r="311" spans="1:16" ht="19.5" customHeight="1">
      <c r="A311" s="26"/>
      <c r="B311" s="27"/>
      <c r="C311" s="30"/>
      <c r="D311" s="31">
        <f t="shared" si="42"/>
        <v>0</v>
      </c>
      <c r="E311" s="29"/>
      <c r="F311" s="29"/>
      <c r="G311" s="29"/>
      <c r="H311" s="29"/>
      <c r="I311" s="4"/>
      <c r="J311" s="29"/>
      <c r="K311" s="16" t="str">
        <f t="shared" si="43"/>
        <v/>
      </c>
      <c r="L311" s="29"/>
      <c r="M311" s="62"/>
      <c r="N311" s="14" t="e">
        <f>VLOOKUP(M311,コード!$A$2:$C$345,2,FALSE)</f>
        <v>#N/A</v>
      </c>
      <c r="O311" s="15">
        <f t="shared" si="44"/>
        <v>0</v>
      </c>
      <c r="P311" s="15"/>
    </row>
    <row r="312" spans="1:16" ht="19.5" customHeight="1">
      <c r="A312" s="26"/>
      <c r="B312" s="27"/>
      <c r="C312" s="30"/>
      <c r="D312" s="31">
        <f t="shared" si="42"/>
        <v>0</v>
      </c>
      <c r="E312" s="29"/>
      <c r="F312" s="29"/>
      <c r="G312" s="29"/>
      <c r="H312" s="29"/>
      <c r="I312" s="4"/>
      <c r="J312" s="29"/>
      <c r="K312" s="16" t="str">
        <f t="shared" si="43"/>
        <v/>
      </c>
      <c r="L312" s="29"/>
      <c r="M312" s="62"/>
      <c r="N312" s="14" t="e">
        <f>VLOOKUP(M312,コード!$A$2:$C$345,2,FALSE)</f>
        <v>#N/A</v>
      </c>
      <c r="O312" s="15">
        <f t="shared" si="44"/>
        <v>0</v>
      </c>
      <c r="P312" s="15"/>
    </row>
    <row r="313" spans="1:16" ht="19.5" customHeight="1">
      <c r="A313" s="26"/>
      <c r="B313" s="27"/>
      <c r="C313" s="30"/>
      <c r="D313" s="31">
        <f t="shared" si="42"/>
        <v>0</v>
      </c>
      <c r="E313" s="29"/>
      <c r="F313" s="29"/>
      <c r="G313" s="29"/>
      <c r="H313" s="29"/>
      <c r="I313" s="4"/>
      <c r="J313" s="29"/>
      <c r="K313" s="16" t="str">
        <f t="shared" si="43"/>
        <v/>
      </c>
      <c r="L313" s="29"/>
      <c r="M313" s="62"/>
      <c r="N313" s="14" t="e">
        <f>VLOOKUP(M313,コード!$A$2:$C$345,2,FALSE)</f>
        <v>#N/A</v>
      </c>
      <c r="O313" s="15">
        <f t="shared" si="44"/>
        <v>0</v>
      </c>
      <c r="P313" s="15"/>
    </row>
    <row r="314" spans="1:16" ht="19.5" customHeight="1">
      <c r="A314" s="26"/>
      <c r="B314" s="27"/>
      <c r="C314" s="30"/>
      <c r="D314" s="31">
        <f t="shared" si="42"/>
        <v>0</v>
      </c>
      <c r="E314" s="29"/>
      <c r="F314" s="29"/>
      <c r="G314" s="29"/>
      <c r="H314" s="29"/>
      <c r="I314" s="4"/>
      <c r="J314" s="29"/>
      <c r="K314" s="16" t="str">
        <f t="shared" si="43"/>
        <v/>
      </c>
      <c r="L314" s="29"/>
      <c r="M314" s="62"/>
      <c r="N314" s="14" t="e">
        <f>VLOOKUP(M314,コード!$A$2:$C$345,2,FALSE)</f>
        <v>#N/A</v>
      </c>
      <c r="O314" s="15">
        <f t="shared" si="44"/>
        <v>0</v>
      </c>
      <c r="P314" s="15"/>
    </row>
    <row r="315" spans="1:16" ht="19.5" customHeight="1">
      <c r="A315" s="26"/>
      <c r="B315" s="27"/>
      <c r="C315" s="30"/>
      <c r="D315" s="31">
        <f t="shared" si="42"/>
        <v>0</v>
      </c>
      <c r="E315" s="29"/>
      <c r="F315" s="29"/>
      <c r="G315" s="29"/>
      <c r="H315" s="29"/>
      <c r="I315" s="4"/>
      <c r="J315" s="29"/>
      <c r="K315" s="16" t="str">
        <f t="shared" si="43"/>
        <v/>
      </c>
      <c r="L315" s="29"/>
      <c r="M315" s="62"/>
      <c r="N315" s="14" t="e">
        <f>VLOOKUP(M315,コード!$A$2:$C$345,2,FALSE)</f>
        <v>#N/A</v>
      </c>
      <c r="O315" s="15">
        <f t="shared" si="44"/>
        <v>0</v>
      </c>
      <c r="P315" s="15"/>
    </row>
    <row r="316" spans="1:16" ht="19.5" customHeight="1">
      <c r="A316" s="26"/>
      <c r="B316" s="27"/>
      <c r="C316" s="30"/>
      <c r="D316" s="31">
        <f t="shared" si="42"/>
        <v>0</v>
      </c>
      <c r="E316" s="29"/>
      <c r="F316" s="29"/>
      <c r="G316" s="29"/>
      <c r="H316" s="29"/>
      <c r="I316" s="4"/>
      <c r="J316" s="29"/>
      <c r="K316" s="16" t="str">
        <f t="shared" si="43"/>
        <v/>
      </c>
      <c r="L316" s="29"/>
      <c r="M316" s="62"/>
      <c r="N316" s="14" t="e">
        <f>VLOOKUP(M316,コード!$A$2:$C$345,2,FALSE)</f>
        <v>#N/A</v>
      </c>
      <c r="O316" s="15">
        <f t="shared" si="44"/>
        <v>0</v>
      </c>
      <c r="P316" s="15"/>
    </row>
    <row r="317" spans="1:16" ht="19.5" customHeight="1">
      <c r="A317" s="26"/>
      <c r="B317" s="27"/>
      <c r="C317" s="30"/>
      <c r="D317" s="31">
        <f t="shared" si="42"/>
        <v>0</v>
      </c>
      <c r="E317" s="29"/>
      <c r="F317" s="29"/>
      <c r="G317" s="29"/>
      <c r="H317" s="29"/>
      <c r="I317" s="4"/>
      <c r="J317" s="29"/>
      <c r="K317" s="16" t="str">
        <f t="shared" si="43"/>
        <v/>
      </c>
      <c r="L317" s="29"/>
      <c r="M317" s="62"/>
      <c r="N317" s="14" t="e">
        <f>VLOOKUP(M317,コード!$A$2:$C$345,2,FALSE)</f>
        <v>#N/A</v>
      </c>
      <c r="O317" s="15">
        <f t="shared" si="44"/>
        <v>0</v>
      </c>
      <c r="P317" s="15"/>
    </row>
    <row r="318" spans="1:16" ht="19.5" customHeight="1">
      <c r="A318" s="26"/>
      <c r="B318" s="27"/>
      <c r="C318" s="30"/>
      <c r="D318" s="31">
        <f t="shared" si="42"/>
        <v>0</v>
      </c>
      <c r="E318" s="29"/>
      <c r="F318" s="29"/>
      <c r="G318" s="29"/>
      <c r="H318" s="29"/>
      <c r="I318" s="4"/>
      <c r="J318" s="29"/>
      <c r="K318" s="16" t="str">
        <f t="shared" si="43"/>
        <v/>
      </c>
      <c r="L318" s="29"/>
      <c r="M318" s="62"/>
      <c r="N318" s="14" t="e">
        <f>VLOOKUP(M318,コード!$A$2:$C$345,2,FALSE)</f>
        <v>#N/A</v>
      </c>
      <c r="O318" s="15">
        <f t="shared" si="44"/>
        <v>0</v>
      </c>
      <c r="P318" s="15"/>
    </row>
    <row r="319" spans="1:16" ht="19.5" customHeight="1">
      <c r="A319" s="26"/>
      <c r="B319" s="27"/>
      <c r="C319" s="30"/>
      <c r="D319" s="31">
        <f t="shared" si="42"/>
        <v>0</v>
      </c>
      <c r="E319" s="29"/>
      <c r="F319" s="29"/>
      <c r="G319" s="29"/>
      <c r="H319" s="29"/>
      <c r="I319" s="4"/>
      <c r="J319" s="29"/>
      <c r="K319" s="16" t="str">
        <f t="shared" si="43"/>
        <v/>
      </c>
      <c r="L319" s="29"/>
      <c r="M319" s="62"/>
      <c r="N319" s="14" t="e">
        <f>VLOOKUP(M319,コード!$A$2:$C$345,2,FALSE)</f>
        <v>#N/A</v>
      </c>
      <c r="O319" s="15">
        <f t="shared" si="44"/>
        <v>0</v>
      </c>
      <c r="P319" s="15"/>
    </row>
    <row r="320" spans="1:16" ht="19.5" customHeight="1">
      <c r="A320" s="26"/>
      <c r="B320" s="27"/>
      <c r="C320" s="30"/>
      <c r="D320" s="31">
        <f t="shared" si="42"/>
        <v>0</v>
      </c>
      <c r="E320" s="29"/>
      <c r="F320" s="29"/>
      <c r="G320" s="29"/>
      <c r="H320" s="29"/>
      <c r="I320" s="4"/>
      <c r="J320" s="29"/>
      <c r="K320" s="16" t="str">
        <f t="shared" si="43"/>
        <v/>
      </c>
      <c r="L320" s="29"/>
      <c r="M320" s="62"/>
      <c r="N320" s="14" t="e">
        <f>VLOOKUP(M320,コード!$A$2:$C$345,2,FALSE)</f>
        <v>#N/A</v>
      </c>
      <c r="O320" s="15">
        <f t="shared" si="44"/>
        <v>0</v>
      </c>
      <c r="P320" s="15"/>
    </row>
    <row r="321" spans="1:16" ht="19.5" customHeight="1">
      <c r="A321" s="26"/>
      <c r="B321" s="27"/>
      <c r="C321" s="30"/>
      <c r="D321" s="31">
        <f t="shared" si="42"/>
        <v>0</v>
      </c>
      <c r="E321" s="29"/>
      <c r="F321" s="29"/>
      <c r="G321" s="29"/>
      <c r="H321" s="29"/>
      <c r="I321" s="4"/>
      <c r="J321" s="29"/>
      <c r="K321" s="16" t="str">
        <f t="shared" si="43"/>
        <v/>
      </c>
      <c r="L321" s="29"/>
      <c r="M321" s="62"/>
      <c r="N321" s="14" t="e">
        <f>VLOOKUP(M321,コード!$A$2:$C$345,2,FALSE)</f>
        <v>#N/A</v>
      </c>
      <c r="O321" s="15">
        <f t="shared" si="44"/>
        <v>0</v>
      </c>
      <c r="P321" s="15"/>
    </row>
    <row r="322" spans="1:16" ht="19.5" customHeight="1">
      <c r="A322" s="26"/>
      <c r="B322" s="27"/>
      <c r="C322" s="30"/>
      <c r="D322" s="31">
        <f t="shared" si="42"/>
        <v>0</v>
      </c>
      <c r="E322" s="29"/>
      <c r="F322" s="29"/>
      <c r="G322" s="29"/>
      <c r="H322" s="29"/>
      <c r="I322" s="4"/>
      <c r="J322" s="29"/>
      <c r="K322" s="16" t="str">
        <f t="shared" si="43"/>
        <v/>
      </c>
      <c r="L322" s="29"/>
      <c r="M322" s="62"/>
      <c r="N322" s="14" t="e">
        <f>VLOOKUP(M322,コード!$A$2:$C$345,2,FALSE)</f>
        <v>#N/A</v>
      </c>
      <c r="O322" s="15">
        <f t="shared" si="44"/>
        <v>0</v>
      </c>
      <c r="P322" s="15"/>
    </row>
    <row r="323" spans="1:16" ht="19.5" customHeight="1">
      <c r="A323" s="26"/>
      <c r="B323" s="27"/>
      <c r="C323" s="30"/>
      <c r="D323" s="31">
        <f t="shared" si="42"/>
        <v>0</v>
      </c>
      <c r="E323" s="29"/>
      <c r="F323" s="29"/>
      <c r="G323" s="29"/>
      <c r="H323" s="29"/>
      <c r="I323" s="4"/>
      <c r="J323" s="29"/>
      <c r="K323" s="16" t="str">
        <f t="shared" si="43"/>
        <v/>
      </c>
      <c r="L323" s="29"/>
      <c r="M323" s="62"/>
      <c r="N323" s="14" t="e">
        <f>VLOOKUP(M323,コード!$A$2:$C$345,2,FALSE)</f>
        <v>#N/A</v>
      </c>
      <c r="O323" s="15">
        <f t="shared" si="44"/>
        <v>0</v>
      </c>
      <c r="P323" s="15"/>
    </row>
    <row r="324" spans="1:16" ht="19.5" customHeight="1">
      <c r="A324" s="26"/>
      <c r="B324" s="27"/>
      <c r="C324" s="30"/>
      <c r="D324" s="31">
        <f t="shared" si="42"/>
        <v>0</v>
      </c>
      <c r="E324" s="29"/>
      <c r="F324" s="29"/>
      <c r="G324" s="29"/>
      <c r="H324" s="29"/>
      <c r="I324" s="4"/>
      <c r="J324" s="29"/>
      <c r="K324" s="16" t="str">
        <f t="shared" si="43"/>
        <v/>
      </c>
      <c r="L324" s="29"/>
      <c r="M324" s="62"/>
      <c r="N324" s="14" t="e">
        <f>VLOOKUP(M324,コード!$A$2:$C$345,2,FALSE)</f>
        <v>#N/A</v>
      </c>
      <c r="O324" s="15">
        <f t="shared" si="44"/>
        <v>0</v>
      </c>
      <c r="P324" s="15"/>
    </row>
    <row r="325" spans="1:16" ht="19.5" customHeight="1">
      <c r="A325" s="26"/>
      <c r="B325" s="27"/>
      <c r="C325" s="30"/>
      <c r="D325" s="31">
        <f t="shared" si="42"/>
        <v>0</v>
      </c>
      <c r="E325" s="29"/>
      <c r="F325" s="29"/>
      <c r="G325" s="29"/>
      <c r="H325" s="29"/>
      <c r="I325" s="4"/>
      <c r="J325" s="29"/>
      <c r="K325" s="16" t="str">
        <f t="shared" si="43"/>
        <v/>
      </c>
      <c r="L325" s="29"/>
      <c r="M325" s="62"/>
      <c r="N325" s="14" t="e">
        <f>VLOOKUP(M325,コード!$A$2:$C$345,2,FALSE)</f>
        <v>#N/A</v>
      </c>
      <c r="O325" s="15">
        <f t="shared" si="44"/>
        <v>0</v>
      </c>
      <c r="P325" s="15"/>
    </row>
    <row r="326" spans="1:16" ht="19.5" customHeight="1">
      <c r="A326" s="26"/>
      <c r="B326" s="27"/>
      <c r="C326" s="30"/>
      <c r="D326" s="31">
        <f t="shared" si="42"/>
        <v>0</v>
      </c>
      <c r="E326" s="29"/>
      <c r="F326" s="29"/>
      <c r="G326" s="29"/>
      <c r="H326" s="29"/>
      <c r="I326" s="4"/>
      <c r="J326" s="29"/>
      <c r="K326" s="16" t="str">
        <f t="shared" si="43"/>
        <v/>
      </c>
      <c r="L326" s="29"/>
      <c r="M326" s="62"/>
      <c r="N326" s="14" t="e">
        <f>VLOOKUP(M326,コード!$A$2:$C$345,2,FALSE)</f>
        <v>#N/A</v>
      </c>
      <c r="O326" s="15">
        <f t="shared" si="44"/>
        <v>0</v>
      </c>
      <c r="P326" s="15"/>
    </row>
    <row r="327" spans="1:16" ht="19.5" customHeight="1">
      <c r="A327" s="26"/>
      <c r="B327" s="27"/>
      <c r="C327" s="30"/>
      <c r="D327" s="31">
        <f t="shared" si="42"/>
        <v>0</v>
      </c>
      <c r="E327" s="29"/>
      <c r="F327" s="29"/>
      <c r="G327" s="29"/>
      <c r="H327" s="29"/>
      <c r="I327" s="4"/>
      <c r="J327" s="29"/>
      <c r="K327" s="16" t="str">
        <f t="shared" si="43"/>
        <v/>
      </c>
      <c r="L327" s="29"/>
      <c r="M327" s="62"/>
      <c r="N327" s="14" t="e">
        <f>VLOOKUP(M327,コード!$A$2:$C$345,2,FALSE)</f>
        <v>#N/A</v>
      </c>
      <c r="O327" s="15">
        <f t="shared" si="44"/>
        <v>0</v>
      </c>
      <c r="P327" s="15"/>
    </row>
    <row r="328" spans="1:16" ht="19.5" customHeight="1">
      <c r="A328" s="26"/>
      <c r="B328" s="27"/>
      <c r="C328" s="30"/>
      <c r="D328" s="31">
        <f t="shared" si="42"/>
        <v>0</v>
      </c>
      <c r="E328" s="29"/>
      <c r="F328" s="29"/>
      <c r="G328" s="29"/>
      <c r="H328" s="29"/>
      <c r="I328" s="4"/>
      <c r="J328" s="29"/>
      <c r="K328" s="16" t="str">
        <f t="shared" si="43"/>
        <v/>
      </c>
      <c r="L328" s="29"/>
      <c r="M328" s="62"/>
      <c r="N328" s="14" t="e">
        <f>VLOOKUP(M328,コード!$A$2:$C$345,2,FALSE)</f>
        <v>#N/A</v>
      </c>
      <c r="O328" s="15">
        <f t="shared" si="44"/>
        <v>0</v>
      </c>
      <c r="P328" s="15"/>
    </row>
    <row r="329" spans="1:16" ht="19.5" customHeight="1">
      <c r="A329" s="26"/>
      <c r="B329" s="27"/>
      <c r="C329" s="30"/>
      <c r="D329" s="31">
        <f t="shared" si="42"/>
        <v>0</v>
      </c>
      <c r="E329" s="29"/>
      <c r="F329" s="29"/>
      <c r="G329" s="29"/>
      <c r="H329" s="29"/>
      <c r="I329" s="4"/>
      <c r="J329" s="29"/>
      <c r="K329" s="16" t="str">
        <f t="shared" si="43"/>
        <v/>
      </c>
      <c r="L329" s="29"/>
      <c r="M329" s="62"/>
      <c r="N329" s="14" t="e">
        <f>VLOOKUP(M329,コード!$A$2:$C$345,2,FALSE)</f>
        <v>#N/A</v>
      </c>
      <c r="O329" s="15">
        <f t="shared" si="44"/>
        <v>0</v>
      </c>
      <c r="P329" s="15"/>
    </row>
    <row r="330" spans="1:16" ht="19.5" customHeight="1">
      <c r="A330" s="26"/>
      <c r="B330" s="27"/>
      <c r="C330" s="30"/>
      <c r="D330" s="31">
        <f t="shared" si="42"/>
        <v>0</v>
      </c>
      <c r="E330" s="29"/>
      <c r="F330" s="29"/>
      <c r="G330" s="29"/>
      <c r="H330" s="29"/>
      <c r="I330" s="4"/>
      <c r="J330" s="29"/>
      <c r="K330" s="16" t="str">
        <f t="shared" si="43"/>
        <v/>
      </c>
      <c r="L330" s="29"/>
      <c r="M330" s="62"/>
      <c r="N330" s="14" t="e">
        <f>VLOOKUP(M330,コード!$A$2:$C$345,2,FALSE)</f>
        <v>#N/A</v>
      </c>
      <c r="O330" s="15">
        <f t="shared" si="44"/>
        <v>0</v>
      </c>
      <c r="P330" s="15"/>
    </row>
    <row r="331" spans="1:16" ht="19.5" customHeight="1">
      <c r="A331" s="26"/>
      <c r="B331" s="27"/>
      <c r="C331" s="30"/>
      <c r="D331" s="31">
        <f t="shared" si="42"/>
        <v>0</v>
      </c>
      <c r="E331" s="29"/>
      <c r="F331" s="29"/>
      <c r="G331" s="29"/>
      <c r="H331" s="29"/>
      <c r="I331" s="4"/>
      <c r="J331" s="29"/>
      <c r="K331" s="16" t="str">
        <f t="shared" si="43"/>
        <v/>
      </c>
      <c r="L331" s="29"/>
      <c r="M331" s="62"/>
      <c r="N331" s="14" t="e">
        <f>VLOOKUP(M331,コード!$A$2:$C$345,2,FALSE)</f>
        <v>#N/A</v>
      </c>
      <c r="O331" s="15">
        <f t="shared" si="44"/>
        <v>0</v>
      </c>
      <c r="P331" s="15"/>
    </row>
    <row r="332" spans="1:16" ht="19.5" customHeight="1">
      <c r="A332" s="26"/>
      <c r="B332" s="27"/>
      <c r="C332" s="30"/>
      <c r="D332" s="31">
        <f t="shared" si="42"/>
        <v>0</v>
      </c>
      <c r="E332" s="29"/>
      <c r="F332" s="29"/>
      <c r="G332" s="29"/>
      <c r="H332" s="29"/>
      <c r="I332" s="4"/>
      <c r="J332" s="29"/>
      <c r="K332" s="16" t="str">
        <f t="shared" si="43"/>
        <v/>
      </c>
      <c r="L332" s="29"/>
      <c r="M332" s="62"/>
      <c r="N332" s="14" t="e">
        <f>VLOOKUP(M332,コード!$A$2:$C$345,2,FALSE)</f>
        <v>#N/A</v>
      </c>
      <c r="O332" s="15">
        <f t="shared" si="44"/>
        <v>0</v>
      </c>
      <c r="P332" s="15"/>
    </row>
    <row r="333" spans="1:16" ht="19.5" customHeight="1">
      <c r="A333" s="26"/>
      <c r="B333" s="27"/>
      <c r="C333" s="30"/>
      <c r="D333" s="31">
        <f t="shared" si="42"/>
        <v>0</v>
      </c>
      <c r="E333" s="29"/>
      <c r="F333" s="29"/>
      <c r="G333" s="29"/>
      <c r="H333" s="29"/>
      <c r="I333" s="4"/>
      <c r="J333" s="29"/>
      <c r="K333" s="16" t="str">
        <f t="shared" si="43"/>
        <v/>
      </c>
      <c r="L333" s="29"/>
      <c r="M333" s="62"/>
      <c r="N333" s="14" t="e">
        <f>VLOOKUP(M333,コード!$A$2:$C$345,2,FALSE)</f>
        <v>#N/A</v>
      </c>
      <c r="O333" s="15">
        <f t="shared" si="44"/>
        <v>0</v>
      </c>
      <c r="P333" s="15"/>
    </row>
    <row r="334" spans="1:16" ht="19.5" customHeight="1">
      <c r="A334" s="26"/>
      <c r="B334" s="27"/>
      <c r="C334" s="30"/>
      <c r="D334" s="31">
        <f t="shared" si="42"/>
        <v>0</v>
      </c>
      <c r="E334" s="29"/>
      <c r="F334" s="29"/>
      <c r="G334" s="29"/>
      <c r="H334" s="29"/>
      <c r="I334" s="4"/>
      <c r="J334" s="29"/>
      <c r="K334" s="16" t="str">
        <f t="shared" si="43"/>
        <v/>
      </c>
      <c r="L334" s="29"/>
      <c r="M334" s="62"/>
      <c r="N334" s="14" t="e">
        <f>VLOOKUP(M334,コード!$A$2:$C$345,2,FALSE)</f>
        <v>#N/A</v>
      </c>
      <c r="O334" s="15">
        <f t="shared" si="44"/>
        <v>0</v>
      </c>
      <c r="P334" s="15"/>
    </row>
    <row r="335" spans="1:16" ht="19.5" customHeight="1">
      <c r="A335" s="26"/>
      <c r="B335" s="27"/>
      <c r="C335" s="30"/>
      <c r="D335" s="31">
        <f t="shared" si="42"/>
        <v>0</v>
      </c>
      <c r="E335" s="29"/>
      <c r="F335" s="29"/>
      <c r="G335" s="29"/>
      <c r="H335" s="29"/>
      <c r="I335" s="4"/>
      <c r="J335" s="29"/>
      <c r="K335" s="16" t="str">
        <f t="shared" si="43"/>
        <v/>
      </c>
      <c r="L335" s="29"/>
      <c r="M335" s="62"/>
      <c r="N335" s="14" t="e">
        <f>VLOOKUP(M335,コード!$A$2:$C$345,2,FALSE)</f>
        <v>#N/A</v>
      </c>
      <c r="O335" s="15">
        <f t="shared" si="44"/>
        <v>0</v>
      </c>
      <c r="P335" s="15"/>
    </row>
    <row r="336" spans="1:16" ht="19.5" customHeight="1">
      <c r="A336" s="26"/>
      <c r="B336" s="27"/>
      <c r="C336" s="30"/>
      <c r="D336" s="31">
        <f t="shared" si="42"/>
        <v>0</v>
      </c>
      <c r="E336" s="29"/>
      <c r="F336" s="29"/>
      <c r="G336" s="29"/>
      <c r="H336" s="29"/>
      <c r="I336" s="4"/>
      <c r="J336" s="29"/>
      <c r="K336" s="16" t="str">
        <f t="shared" si="43"/>
        <v/>
      </c>
      <c r="L336" s="29"/>
      <c r="M336" s="62"/>
      <c r="N336" s="14" t="e">
        <f>VLOOKUP(M336,コード!$A$2:$C$345,2,FALSE)</f>
        <v>#N/A</v>
      </c>
      <c r="O336" s="15">
        <f t="shared" si="44"/>
        <v>0</v>
      </c>
      <c r="P336" s="15"/>
    </row>
    <row r="337" spans="1:16" ht="19.5" customHeight="1">
      <c r="A337" s="26"/>
      <c r="B337" s="27"/>
      <c r="C337" s="30"/>
      <c r="D337" s="31">
        <f t="shared" si="42"/>
        <v>0</v>
      </c>
      <c r="E337" s="29"/>
      <c r="F337" s="29"/>
      <c r="G337" s="29"/>
      <c r="H337" s="29"/>
      <c r="I337" s="4"/>
      <c r="J337" s="29"/>
      <c r="K337" s="16" t="str">
        <f t="shared" si="43"/>
        <v/>
      </c>
      <c r="L337" s="29"/>
      <c r="M337" s="62"/>
      <c r="N337" s="14" t="e">
        <f>VLOOKUP(M337,コード!$A$2:$C$345,2,FALSE)</f>
        <v>#N/A</v>
      </c>
      <c r="O337" s="15">
        <f t="shared" si="44"/>
        <v>0</v>
      </c>
      <c r="P337" s="15"/>
    </row>
    <row r="338" spans="1:16" ht="19.5" customHeight="1">
      <c r="A338" s="26"/>
      <c r="B338" s="27"/>
      <c r="C338" s="30"/>
      <c r="D338" s="31">
        <f t="shared" si="42"/>
        <v>0</v>
      </c>
      <c r="E338" s="29"/>
      <c r="F338" s="29"/>
      <c r="G338" s="29"/>
      <c r="H338" s="29"/>
      <c r="I338" s="4"/>
      <c r="J338" s="29"/>
      <c r="K338" s="16" t="str">
        <f t="shared" si="43"/>
        <v/>
      </c>
      <c r="L338" s="29"/>
      <c r="M338" s="62"/>
      <c r="N338" s="14" t="e">
        <f>VLOOKUP(M338,コード!$A$2:$C$345,2,FALSE)</f>
        <v>#N/A</v>
      </c>
      <c r="O338" s="15">
        <f t="shared" si="44"/>
        <v>0</v>
      </c>
      <c r="P338" s="15"/>
    </row>
    <row r="339" spans="1:16" ht="19.5" customHeight="1">
      <c r="A339" s="26"/>
      <c r="B339" s="27"/>
      <c r="C339" s="30"/>
      <c r="D339" s="31">
        <f t="shared" si="42"/>
        <v>0</v>
      </c>
      <c r="E339" s="29"/>
      <c r="F339" s="29"/>
      <c r="G339" s="29"/>
      <c r="H339" s="29"/>
      <c r="I339" s="4"/>
      <c r="J339" s="29"/>
      <c r="K339" s="16" t="str">
        <f t="shared" si="43"/>
        <v/>
      </c>
      <c r="L339" s="29"/>
      <c r="M339" s="62"/>
      <c r="N339" s="14" t="e">
        <f>VLOOKUP(M339,コード!$A$2:$C$345,2,FALSE)</f>
        <v>#N/A</v>
      </c>
      <c r="O339" s="15">
        <f t="shared" si="44"/>
        <v>0</v>
      </c>
      <c r="P339" s="15"/>
    </row>
  </sheetData>
  <autoFilter ref="A2:S156" xr:uid="{00000000-0009-0000-0000-000003000000}"/>
  <mergeCells count="1">
    <mergeCell ref="M1:O1"/>
  </mergeCells>
  <phoneticPr fontId="6"/>
  <pageMargins left="0.59055118110236227" right="0.39370078740157483" top="0.98425196850393704" bottom="0.39370078740157483" header="0.51181102362204722" footer="0.51181102362204722"/>
  <pageSetup paperSize="9" scale="68" fitToHeight="0" orientation="portrait" horizontalDpi="4294967292" r:id="rId1"/>
  <headerFooter alignWithMargins="0">
    <oddHeader>&amp;C一日の商い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9409" r:id="rId4" name="Button 1">
              <controlPr defaultSize="0" print="0" autoFill="0" autoPict="0" macro="[0]!NippouCsv">
                <anchor moveWithCells="1" sizeWithCells="1">
                  <from>
                    <xdr:col>8</xdr:col>
                    <xdr:colOff>114300</xdr:colOff>
                    <xdr:row>0</xdr:row>
                    <xdr:rowOff>7620</xdr:rowOff>
                  </from>
                  <to>
                    <xdr:col>8</xdr:col>
                    <xdr:colOff>487680</xdr:colOff>
                    <xdr:row>0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4B3D80B-DAF2-45C8-96FC-EE902F0A8E84}">
          <x14:formula1>
            <xm:f>コード!$J$4:$J$31</xm:f>
          </x14:formula1>
          <xm:sqref>I3:I79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コード</vt:lpstr>
      <vt:lpstr>データシート</vt:lpstr>
      <vt:lpstr>CSV用領域</vt:lpstr>
      <vt:lpstr>入力 (2021.4)</vt:lpstr>
    </vt:vector>
  </TitlesOfParts>
  <Company>公共システム部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是永 陸</dc:creator>
  <cp:lastModifiedBy>是永 陸</cp:lastModifiedBy>
  <cp:lastPrinted>2019-09-03T05:33:01Z</cp:lastPrinted>
  <dcterms:created xsi:type="dcterms:W3CDTF">2006-01-27T00:44:54Z</dcterms:created>
  <dcterms:modified xsi:type="dcterms:W3CDTF">2023-10-10T08:31:11Z</dcterms:modified>
</cp:coreProperties>
</file>