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kyuki\Desktop\"/>
    </mc:Choice>
  </mc:AlternateContent>
  <xr:revisionPtr revIDLastSave="0" documentId="13_ncr:1_{63B7D265-A90F-4F16-8D15-5BE2C24BB965}" xr6:coauthVersionLast="47" xr6:coauthVersionMax="47" xr10:uidLastSave="{00000000-0000-0000-0000-000000000000}"/>
  <bookViews>
    <workbookView xWindow="-108" yWindow="-108" windowWidth="23256" windowHeight="12576" tabRatio="826" firstSheet="10" activeTab="10" xr2:uid="{4D52E6EE-8A10-45A0-A054-0F40320B2BFE}"/>
  </bookViews>
  <sheets>
    <sheet name="目次" sheetId="3" r:id="rId1"/>
    <sheet name="ﾏｽﾀｰ" sheetId="1" state="hidden" r:id="rId2"/>
    <sheet name="1" sheetId="171" r:id="rId3"/>
    <sheet name="2" sheetId="172" r:id="rId4"/>
    <sheet name="3" sheetId="173" r:id="rId5"/>
    <sheet name="4" sheetId="174" r:id="rId6"/>
    <sheet name="5" sheetId="175" r:id="rId7"/>
    <sheet name="6" sheetId="176" r:id="rId8"/>
    <sheet name="7" sheetId="177" r:id="rId9"/>
    <sheet name="8" sheetId="178" r:id="rId10"/>
    <sheet name="9" sheetId="179" r:id="rId11"/>
    <sheet name="10" sheetId="180" state="hidden" r:id="rId12"/>
    <sheet name="11" sheetId="181" state="hidden" r:id="rId13"/>
    <sheet name="12" sheetId="182" state="hidden" r:id="rId14"/>
    <sheet name="13" sheetId="183" state="hidden" r:id="rId15"/>
    <sheet name="14" sheetId="184" state="hidden" r:id="rId16"/>
    <sheet name="15" sheetId="185" state="hidden" r:id="rId17"/>
    <sheet name="16" sheetId="186" state="hidden" r:id="rId18"/>
    <sheet name="17" sheetId="187" state="hidden" r:id="rId19"/>
    <sheet name="18" sheetId="188" state="hidden" r:id="rId20"/>
    <sheet name="19" sheetId="189" state="hidden" r:id="rId21"/>
    <sheet name="20" sheetId="190" state="hidden" r:id="rId22"/>
    <sheet name="21" sheetId="191" state="hidden" r:id="rId23"/>
    <sheet name="22" sheetId="192" state="hidden" r:id="rId24"/>
    <sheet name="23" sheetId="193" state="hidden" r:id="rId25"/>
    <sheet name="24" sheetId="194" state="hidden" r:id="rId26"/>
    <sheet name="25" sheetId="195" state="hidden" r:id="rId27"/>
    <sheet name="26" sheetId="196" state="hidden" r:id="rId28"/>
    <sheet name="27" sheetId="197" state="hidden" r:id="rId29"/>
    <sheet name="28" sheetId="198" state="hidden" r:id="rId30"/>
    <sheet name="29" sheetId="199" state="hidden" r:id="rId31"/>
    <sheet name="30" sheetId="200" state="hidden" r:id="rId32"/>
    <sheet name="31" sheetId="201" state="hidden" r:id="rId33"/>
    <sheet name="32" sheetId="202" state="hidden" r:id="rId34"/>
    <sheet name="33" sheetId="203" state="hidden" r:id="rId35"/>
    <sheet name="34" sheetId="204" state="hidden" r:id="rId36"/>
    <sheet name="35" sheetId="205" state="hidden" r:id="rId37"/>
    <sheet name="36" sheetId="206" state="hidden" r:id="rId38"/>
    <sheet name="37" sheetId="207" state="hidden" r:id="rId39"/>
    <sheet name="38" sheetId="208" state="hidden" r:id="rId40"/>
    <sheet name="39" sheetId="209" state="hidden" r:id="rId41"/>
    <sheet name="40" sheetId="210" state="hidden" r:id="rId42"/>
    <sheet name="41" sheetId="211" state="hidden" r:id="rId43"/>
    <sheet name="42" sheetId="212" state="hidden" r:id="rId44"/>
    <sheet name="43" sheetId="213" state="hidden" r:id="rId45"/>
    <sheet name="44" sheetId="214" state="hidden" r:id="rId46"/>
    <sheet name="45" sheetId="215" state="hidden" r:id="rId47"/>
    <sheet name="46" sheetId="216" state="hidden" r:id="rId48"/>
    <sheet name="47" sheetId="217" state="hidden" r:id="rId49"/>
    <sheet name="48" sheetId="218" state="hidden" r:id="rId50"/>
    <sheet name="49" sheetId="219" state="hidden" r:id="rId51"/>
    <sheet name="50" sheetId="220" state="hidden" r:id="rId52"/>
    <sheet name="ﾘｽﾄ" sheetId="13" state="hidden" r:id="rId53"/>
    <sheet name="日" sheetId="39" state="hidden" r:id="rId54"/>
    <sheet name="説明" sheetId="2" state="hidden" r:id="rId55"/>
  </sheets>
  <definedNames>
    <definedName name="_xlnm.Print_Area" localSheetId="2">'1'!$D$2:$G$219</definedName>
    <definedName name="_xlnm.Print_Area" localSheetId="11">'10'!$D$2:$G$215</definedName>
    <definedName name="_xlnm.Print_Area" localSheetId="12">'11'!$D$2:$G$215</definedName>
    <definedName name="_xlnm.Print_Area" localSheetId="13">'12'!$D$2:$G$215</definedName>
    <definedName name="_xlnm.Print_Area" localSheetId="14">'13'!$D$2:$G$215</definedName>
    <definedName name="_xlnm.Print_Area" localSheetId="15">'14'!$D$2:$G$215</definedName>
    <definedName name="_xlnm.Print_Area" localSheetId="16">'15'!$D$2:$G$215</definedName>
    <definedName name="_xlnm.Print_Area" localSheetId="17">'16'!$D$2:$G$215</definedName>
    <definedName name="_xlnm.Print_Area" localSheetId="18">'17'!$D$2:$G$215</definedName>
    <definedName name="_xlnm.Print_Area" localSheetId="19">'18'!$D$2:$G$215</definedName>
    <definedName name="_xlnm.Print_Area" localSheetId="20">'19'!$D$2:$G$215</definedName>
    <definedName name="_xlnm.Print_Area" localSheetId="3">'2'!$D$2:$G$220</definedName>
    <definedName name="_xlnm.Print_Area" localSheetId="21">'20'!$D$2:$G$215</definedName>
    <definedName name="_xlnm.Print_Area" localSheetId="22">'21'!$D$2:$G$215</definedName>
    <definedName name="_xlnm.Print_Area" localSheetId="23">'22'!$D$2:$G$215</definedName>
    <definedName name="_xlnm.Print_Area" localSheetId="24">'23'!$D$2:$G$215</definedName>
    <definedName name="_xlnm.Print_Area" localSheetId="25">'24'!$D$2:$G$215</definedName>
    <definedName name="_xlnm.Print_Area" localSheetId="26">'25'!$D$2:$G$215</definedName>
    <definedName name="_xlnm.Print_Area" localSheetId="27">'26'!$D$2:$G$215</definedName>
    <definedName name="_xlnm.Print_Area" localSheetId="28">'27'!$D$2:$G$215</definedName>
    <definedName name="_xlnm.Print_Area" localSheetId="29">'28'!$D$2:$G$215</definedName>
    <definedName name="_xlnm.Print_Area" localSheetId="30">'29'!$D$2:$G$215</definedName>
    <definedName name="_xlnm.Print_Area" localSheetId="4">'3'!$D$2:$G$217</definedName>
    <definedName name="_xlnm.Print_Area" localSheetId="31">'30'!$D$2:$G$215</definedName>
    <definedName name="_xlnm.Print_Area" localSheetId="32">'31'!$D$2:$G$215</definedName>
    <definedName name="_xlnm.Print_Area" localSheetId="33">'32'!$D$2:$G$215</definedName>
    <definedName name="_xlnm.Print_Area" localSheetId="34">'33'!$D$2:$G$215</definedName>
    <definedName name="_xlnm.Print_Area" localSheetId="35">'34'!$D$2:$G$215</definedName>
    <definedName name="_xlnm.Print_Area" localSheetId="36">'35'!$D$2:$G$215</definedName>
    <definedName name="_xlnm.Print_Area" localSheetId="37">'36'!$D$2:$G$215</definedName>
    <definedName name="_xlnm.Print_Area" localSheetId="38">'37'!$D$2:$G$215</definedName>
    <definedName name="_xlnm.Print_Area" localSheetId="39">'38'!$D$2:$G$215</definedName>
    <definedName name="_xlnm.Print_Area" localSheetId="40">'39'!$D$2:$G$215</definedName>
    <definedName name="_xlnm.Print_Area" localSheetId="5">'4'!$D$2:$G$217</definedName>
    <definedName name="_xlnm.Print_Area" localSheetId="41">'40'!$D$2:$G$215</definedName>
    <definedName name="_xlnm.Print_Area" localSheetId="42">'41'!$D$2:$G$215</definedName>
    <definedName name="_xlnm.Print_Area" localSheetId="43">'42'!$D$2:$G$215</definedName>
    <definedName name="_xlnm.Print_Area" localSheetId="44">'43'!$D$2:$G$215</definedName>
    <definedName name="_xlnm.Print_Area" localSheetId="45">'44'!$D$2:$G$215</definedName>
    <definedName name="_xlnm.Print_Area" localSheetId="46">'45'!$D$2:$G$215</definedName>
    <definedName name="_xlnm.Print_Area" localSheetId="47">'46'!$D$2:$G$215</definedName>
    <definedName name="_xlnm.Print_Area" localSheetId="48">'47'!$D$2:$G$215</definedName>
    <definedName name="_xlnm.Print_Area" localSheetId="49">'48'!$D$2:$G$215</definedName>
    <definedName name="_xlnm.Print_Area" localSheetId="50">'49'!$D$2:$G$215</definedName>
    <definedName name="_xlnm.Print_Area" localSheetId="6">'5'!$D$2:$G$217</definedName>
    <definedName name="_xlnm.Print_Area" localSheetId="51">'50'!$D$2:$G$215</definedName>
    <definedName name="_xlnm.Print_Area" localSheetId="7">'6'!$D$2:$G$216</definedName>
    <definedName name="_xlnm.Print_Area" localSheetId="8">'7'!$D$2:$G$217</definedName>
    <definedName name="_xlnm.Print_Area" localSheetId="9">'8'!$D$2:$G$217</definedName>
    <definedName name="_xlnm.Print_Area" localSheetId="10">'9'!$D$2:$G$217</definedName>
    <definedName name="_xlnm.Print_Area" localSheetId="1">ﾏｽﾀｰ!$D$2:$G$214</definedName>
    <definedName name="_xlnm.Print_Titles" localSheetId="2">'1'!$4:$4</definedName>
    <definedName name="_xlnm.Print_Titles" localSheetId="11">'10'!$4:$4</definedName>
    <definedName name="_xlnm.Print_Titles" localSheetId="12">'11'!$4:$4</definedName>
    <definedName name="_xlnm.Print_Titles" localSheetId="13">'12'!$4:$4</definedName>
    <definedName name="_xlnm.Print_Titles" localSheetId="14">'13'!$4:$4</definedName>
    <definedName name="_xlnm.Print_Titles" localSheetId="15">'14'!$4:$4</definedName>
    <definedName name="_xlnm.Print_Titles" localSheetId="16">'15'!$4:$4</definedName>
    <definedName name="_xlnm.Print_Titles" localSheetId="17">'16'!$4:$4</definedName>
    <definedName name="_xlnm.Print_Titles" localSheetId="18">'17'!$4:$4</definedName>
    <definedName name="_xlnm.Print_Titles" localSheetId="19">'18'!$4:$4</definedName>
    <definedName name="_xlnm.Print_Titles" localSheetId="20">'19'!$4:$4</definedName>
    <definedName name="_xlnm.Print_Titles" localSheetId="3">'2'!$4:$4</definedName>
    <definedName name="_xlnm.Print_Titles" localSheetId="21">'20'!$4:$4</definedName>
    <definedName name="_xlnm.Print_Titles" localSheetId="22">'21'!$4:$4</definedName>
    <definedName name="_xlnm.Print_Titles" localSheetId="23">'22'!$4:$4</definedName>
    <definedName name="_xlnm.Print_Titles" localSheetId="24">'23'!$4:$4</definedName>
    <definedName name="_xlnm.Print_Titles" localSheetId="25">'24'!$4:$4</definedName>
    <definedName name="_xlnm.Print_Titles" localSheetId="26">'25'!$4:$4</definedName>
    <definedName name="_xlnm.Print_Titles" localSheetId="27">'26'!$4:$4</definedName>
    <definedName name="_xlnm.Print_Titles" localSheetId="28">'27'!$4:$4</definedName>
    <definedName name="_xlnm.Print_Titles" localSheetId="29">'28'!$4:$4</definedName>
    <definedName name="_xlnm.Print_Titles" localSheetId="30">'29'!$4:$4</definedName>
    <definedName name="_xlnm.Print_Titles" localSheetId="4">'3'!$4:$4</definedName>
    <definedName name="_xlnm.Print_Titles" localSheetId="31">'30'!$4:$4</definedName>
    <definedName name="_xlnm.Print_Titles" localSheetId="32">'31'!$4:$4</definedName>
    <definedName name="_xlnm.Print_Titles" localSheetId="33">'32'!$4:$4</definedName>
    <definedName name="_xlnm.Print_Titles" localSheetId="34">'33'!$4:$4</definedName>
    <definedName name="_xlnm.Print_Titles" localSheetId="35">'34'!$4:$4</definedName>
    <definedName name="_xlnm.Print_Titles" localSheetId="36">'35'!$4:$4</definedName>
    <definedName name="_xlnm.Print_Titles" localSheetId="37">'36'!$4:$4</definedName>
    <definedName name="_xlnm.Print_Titles" localSheetId="38">'37'!$4:$4</definedName>
    <definedName name="_xlnm.Print_Titles" localSheetId="39">'38'!$4:$4</definedName>
    <definedName name="_xlnm.Print_Titles" localSheetId="40">'39'!$4:$4</definedName>
    <definedName name="_xlnm.Print_Titles" localSheetId="5">'4'!$4:$4</definedName>
    <definedName name="_xlnm.Print_Titles" localSheetId="41">'40'!$4:$4</definedName>
    <definedName name="_xlnm.Print_Titles" localSheetId="42">'41'!$4:$4</definedName>
    <definedName name="_xlnm.Print_Titles" localSheetId="43">'42'!$4:$4</definedName>
    <definedName name="_xlnm.Print_Titles" localSheetId="44">'43'!$4:$4</definedName>
    <definedName name="_xlnm.Print_Titles" localSheetId="45">'44'!$4:$4</definedName>
    <definedName name="_xlnm.Print_Titles" localSheetId="46">'45'!$4:$4</definedName>
    <definedName name="_xlnm.Print_Titles" localSheetId="47">'46'!$4:$4</definedName>
    <definedName name="_xlnm.Print_Titles" localSheetId="48">'47'!$4:$4</definedName>
    <definedName name="_xlnm.Print_Titles" localSheetId="49">'48'!$4:$4</definedName>
    <definedName name="_xlnm.Print_Titles" localSheetId="50">'49'!$4:$4</definedName>
    <definedName name="_xlnm.Print_Titles" localSheetId="6">'5'!$4:$4</definedName>
    <definedName name="_xlnm.Print_Titles" localSheetId="51">'50'!$4:$4</definedName>
    <definedName name="_xlnm.Print_Titles" localSheetId="7">'6'!$4:$4</definedName>
    <definedName name="_xlnm.Print_Titles" localSheetId="8">'7'!$4:$4</definedName>
    <definedName name="_xlnm.Print_Titles" localSheetId="9">'8'!$4:$4</definedName>
    <definedName name="_xlnm.Print_Titles" localSheetId="10">'9'!$4:$4</definedName>
    <definedName name="_xlnm.Print_Titles" localSheetId="1">ﾏｽﾀｰ!$4:$4</definedName>
  </definedNames>
  <calcPr calcId="191028"/>
  <customWorkbookViews>
    <customWorkbookView name="森  真理子 - 個人用ビュー" guid="{02EDAD20-C0CF-49D7-8002-3E7B011F1566}" mergeInterval="0" personalView="1" maximized="1" xWindow="-8" yWindow="-8" windowWidth="1936" windowHeight="1056" activeSheetId="2"/>
    <customWorkbookView name="瀧石 良平 - 個人用ビュー" guid="{BFEB2F4B-4D67-417B-95F9-B15A4E17E2A9}" mergeInterval="0" personalView="1" maximized="1" xWindow="1912" yWindow="-8" windowWidth="1936" windowHeight="1056" activeSheetId="2"/>
    <customWorkbookView name="経営管理部　田中 優 - 個人用ビュー" guid="{10753637-46EC-4FCF-B2FC-FBC7B1E179E3}" mergeInterval="0" personalView="1" maximized="1" xWindow="-9" yWindow="-9" windowWidth="1938" windowHeight="118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3" l="1"/>
  <c r="I12" i="3"/>
  <c r="D5" i="175"/>
  <c r="B10" i="220"/>
  <c r="D5" i="220"/>
  <c r="C5" i="220"/>
  <c r="A2" i="220" a="1"/>
  <c r="A2" i="220" s="1"/>
  <c r="D3" i="220"/>
  <c r="B10" i="219"/>
  <c r="D5" i="219"/>
  <c r="C5" i="219"/>
  <c r="A2" i="219" a="1"/>
  <c r="A2" i="219" s="1"/>
  <c r="D3" i="219"/>
  <c r="B10" i="218"/>
  <c r="D5" i="218"/>
  <c r="C5" i="218"/>
  <c r="A2" i="218" a="1"/>
  <c r="A2" i="218" s="1"/>
  <c r="D3" i="218"/>
  <c r="B10" i="217"/>
  <c r="D5" i="217"/>
  <c r="C5" i="217"/>
  <c r="A2" i="217" a="1"/>
  <c r="A2" i="217" s="1"/>
  <c r="D3" i="217"/>
  <c r="B10" i="216"/>
  <c r="D5" i="216"/>
  <c r="C5" i="216"/>
  <c r="A2" i="216" a="1"/>
  <c r="A2" i="216" s="1"/>
  <c r="D3" i="216"/>
  <c r="B10" i="215"/>
  <c r="D5" i="215"/>
  <c r="C5" i="215"/>
  <c r="A2" i="215" a="1"/>
  <c r="A2" i="215" s="1"/>
  <c r="D3" i="215"/>
  <c r="B10" i="214"/>
  <c r="D5" i="214"/>
  <c r="C5" i="214"/>
  <c r="A2" i="214" a="1"/>
  <c r="A2" i="214" s="1"/>
  <c r="D3" i="214"/>
  <c r="B10" i="213"/>
  <c r="D5" i="213"/>
  <c r="C5" i="213"/>
  <c r="A2" i="213" a="1"/>
  <c r="A2" i="213" s="1"/>
  <c r="D3" i="213"/>
  <c r="B10" i="212"/>
  <c r="D5" i="212"/>
  <c r="C5" i="212"/>
  <c r="A2" i="212" a="1"/>
  <c r="A2" i="212" s="1"/>
  <c r="D3" i="212"/>
  <c r="B10" i="211"/>
  <c r="D5" i="211"/>
  <c r="C5" i="211"/>
  <c r="A2" i="211" a="1"/>
  <c r="A2" i="211" s="1"/>
  <c r="D3" i="211"/>
  <c r="B10" i="210"/>
  <c r="D5" i="210"/>
  <c r="C5" i="210"/>
  <c r="A2" i="210" a="1"/>
  <c r="A2" i="210" s="1"/>
  <c r="D3" i="210"/>
  <c r="B10" i="209"/>
  <c r="D5" i="209"/>
  <c r="C5" i="209"/>
  <c r="A2" i="209" a="1"/>
  <c r="A2" i="209" s="1"/>
  <c r="D3" i="209"/>
  <c r="B10" i="208"/>
  <c r="D5" i="208"/>
  <c r="C5" i="208"/>
  <c r="A2" i="208" a="1"/>
  <c r="A2" i="208" s="1"/>
  <c r="D3" i="208"/>
  <c r="B10" i="207"/>
  <c r="D5" i="207"/>
  <c r="C5" i="207"/>
  <c r="A2" i="207" a="1"/>
  <c r="A2" i="207" s="1"/>
  <c r="D3" i="207"/>
  <c r="B10" i="206"/>
  <c r="D5" i="206"/>
  <c r="C5" i="206"/>
  <c r="A2" i="206" a="1"/>
  <c r="A2" i="206" s="1"/>
  <c r="D3" i="206"/>
  <c r="B10" i="205"/>
  <c r="D5" i="205"/>
  <c r="C5" i="205"/>
  <c r="A2" i="205" a="1"/>
  <c r="A2" i="205" s="1"/>
  <c r="D3" i="205"/>
  <c r="B10" i="204"/>
  <c r="D5" i="204"/>
  <c r="C5" i="204"/>
  <c r="A2" i="204" a="1"/>
  <c r="A2" i="204" s="1"/>
  <c r="D3" i="204"/>
  <c r="B10" i="203"/>
  <c r="D5" i="203"/>
  <c r="C5" i="203"/>
  <c r="A2" i="203" a="1"/>
  <c r="A2" i="203" s="1"/>
  <c r="D3" i="203"/>
  <c r="B10" i="202"/>
  <c r="D5" i="202"/>
  <c r="C5" i="202"/>
  <c r="A2" i="202" a="1"/>
  <c r="A2" i="202" s="1"/>
  <c r="D3" i="202"/>
  <c r="B10" i="201"/>
  <c r="D5" i="201"/>
  <c r="C5" i="201"/>
  <c r="A2" i="201" a="1"/>
  <c r="A2" i="201" s="1"/>
  <c r="D3" i="201"/>
  <c r="B10" i="200"/>
  <c r="D5" i="200"/>
  <c r="C5" i="200"/>
  <c r="A2" i="200" a="1"/>
  <c r="A2" i="200" s="1"/>
  <c r="D3" i="200"/>
  <c r="B10" i="199"/>
  <c r="D5" i="199"/>
  <c r="C5" i="199"/>
  <c r="A2" i="199" a="1"/>
  <c r="A2" i="199" s="1"/>
  <c r="D3" i="199"/>
  <c r="B10" i="198"/>
  <c r="D5" i="198"/>
  <c r="C5" i="198"/>
  <c r="A2" i="198" a="1"/>
  <c r="A2" i="198" s="1"/>
  <c r="D3" i="198"/>
  <c r="B10" i="197"/>
  <c r="D5" i="197"/>
  <c r="C5" i="197"/>
  <c r="A2" i="197" a="1"/>
  <c r="A2" i="197" s="1"/>
  <c r="D3" i="197"/>
  <c r="B10" i="196"/>
  <c r="D5" i="196"/>
  <c r="C5" i="196"/>
  <c r="A2" i="196" a="1"/>
  <c r="A2" i="196" s="1"/>
  <c r="D3" i="196"/>
  <c r="B10" i="195"/>
  <c r="D5" i="195"/>
  <c r="C5" i="195"/>
  <c r="A2" i="195" a="1"/>
  <c r="A2" i="195" s="1"/>
  <c r="D3" i="195"/>
  <c r="B10" i="194"/>
  <c r="D5" i="194"/>
  <c r="C5" i="194"/>
  <c r="A2" i="194" a="1"/>
  <c r="A2" i="194" s="1"/>
  <c r="D3" i="194"/>
  <c r="B10" i="193"/>
  <c r="D5" i="193"/>
  <c r="C5" i="193"/>
  <c r="A2" i="193" a="1"/>
  <c r="A2" i="193" s="1"/>
  <c r="D3" i="193"/>
  <c r="B10" i="192"/>
  <c r="D5" i="192"/>
  <c r="C5" i="192"/>
  <c r="A2" i="192" a="1"/>
  <c r="A2" i="192" s="1"/>
  <c r="D3" i="192"/>
  <c r="B10" i="191"/>
  <c r="D5" i="191"/>
  <c r="C5" i="191"/>
  <c r="A2" i="191" a="1"/>
  <c r="A2" i="191" s="1"/>
  <c r="D3" i="191"/>
  <c r="B10" i="190"/>
  <c r="D5" i="190"/>
  <c r="C5" i="190"/>
  <c r="A2" i="190" a="1"/>
  <c r="A2" i="190" s="1"/>
  <c r="D3" i="190"/>
  <c r="B10" i="189"/>
  <c r="D5" i="189"/>
  <c r="C5" i="189"/>
  <c r="A2" i="189" a="1"/>
  <c r="A2" i="189" s="1"/>
  <c r="D3" i="189"/>
  <c r="B10" i="188"/>
  <c r="D5" i="188"/>
  <c r="C5" i="188"/>
  <c r="A2" i="188" a="1"/>
  <c r="A2" i="188" s="1"/>
  <c r="D3" i="188"/>
  <c r="B10" i="187"/>
  <c r="D5" i="187"/>
  <c r="C5" i="187"/>
  <c r="A2" i="187" a="1"/>
  <c r="A2" i="187" s="1"/>
  <c r="D3" i="187"/>
  <c r="B10" i="186"/>
  <c r="D5" i="186"/>
  <c r="C5" i="186"/>
  <c r="A2" i="186" a="1"/>
  <c r="A2" i="186" s="1"/>
  <c r="D3" i="186"/>
  <c r="B10" i="185"/>
  <c r="D5" i="185"/>
  <c r="C5" i="185"/>
  <c r="A2" i="185" a="1"/>
  <c r="A2" i="185" s="1"/>
  <c r="D3" i="185"/>
  <c r="B10" i="184"/>
  <c r="D5" i="184"/>
  <c r="C5" i="184"/>
  <c r="A2" i="184" a="1"/>
  <c r="A2" i="184" s="1"/>
  <c r="D3" i="184"/>
  <c r="B10" i="183"/>
  <c r="D5" i="183"/>
  <c r="C5" i="183"/>
  <c r="A2" i="183" a="1"/>
  <c r="A2" i="183" s="1"/>
  <c r="D3" i="183"/>
  <c r="B10" i="182"/>
  <c r="D5" i="182"/>
  <c r="C5" i="182"/>
  <c r="A2" i="182" a="1"/>
  <c r="A2" i="182" s="1"/>
  <c r="D3" i="182"/>
  <c r="B10" i="181"/>
  <c r="D5" i="181"/>
  <c r="C5" i="181"/>
  <c r="A2" i="181" a="1"/>
  <c r="A2" i="181" s="1"/>
  <c r="D3" i="181"/>
  <c r="B10" i="180"/>
  <c r="D5" i="180"/>
  <c r="C5" i="180"/>
  <c r="A2" i="180" a="1"/>
  <c r="A2" i="180" s="1"/>
  <c r="D3" i="180"/>
  <c r="B10" i="179"/>
  <c r="D5" i="179"/>
  <c r="C5" i="179"/>
  <c r="A2" i="179" a="1"/>
  <c r="A2" i="179" s="1"/>
  <c r="D3" i="179"/>
  <c r="B10" i="178"/>
  <c r="D5" i="178"/>
  <c r="C5" i="178"/>
  <c r="A2" i="178" a="1"/>
  <c r="A2" i="178" s="1"/>
  <c r="D3" i="178"/>
  <c r="B10" i="177"/>
  <c r="D5" i="177"/>
  <c r="C5" i="177"/>
  <c r="A2" i="177" a="1"/>
  <c r="A2" i="177" s="1"/>
  <c r="D3" i="177"/>
  <c r="B10" i="176"/>
  <c r="D5" i="176"/>
  <c r="C5" i="176"/>
  <c r="A2" i="176" a="1"/>
  <c r="A2" i="176" s="1"/>
  <c r="D3" i="176"/>
  <c r="B10" i="175"/>
  <c r="C5" i="175"/>
  <c r="A2" i="175" a="1"/>
  <c r="A2" i="175" s="1"/>
  <c r="D3" i="175"/>
  <c r="B10" i="174"/>
  <c r="D5" i="174"/>
  <c r="C5" i="174"/>
  <c r="A2" i="174" a="1"/>
  <c r="A2" i="174" s="1"/>
  <c r="D3" i="174"/>
  <c r="B10" i="173"/>
  <c r="D5" i="173"/>
  <c r="C5" i="173"/>
  <c r="A2" i="173" a="1"/>
  <c r="A2" i="173" s="1"/>
  <c r="D3" i="173"/>
  <c r="B10" i="172"/>
  <c r="D5" i="172"/>
  <c r="C5" i="172"/>
  <c r="A2" i="172" a="1"/>
  <c r="A2" i="172" s="1"/>
  <c r="D3" i="172"/>
  <c r="B10" i="171"/>
  <c r="D5" i="171"/>
  <c r="C5" i="171"/>
  <c r="A2" i="171" a="1"/>
  <c r="A2" i="171" s="1"/>
  <c r="D3" i="171"/>
  <c r="D44" i="13"/>
  <c r="E1" i="3"/>
  <c r="C1" i="3"/>
  <c r="A1" i="1" a="1"/>
  <c r="A1" i="1" s="1"/>
  <c r="D3" i="1" s="1"/>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2" i="13" s="1"/>
  <c r="D3" i="13"/>
  <c r="I54" i="3"/>
  <c r="G54" i="3"/>
  <c r="H54" i="3" s="1"/>
  <c r="D54" i="3"/>
  <c r="E54" i="3" s="1"/>
  <c r="I53" i="3"/>
  <c r="G53" i="3"/>
  <c r="H53" i="3" s="1"/>
  <c r="D53" i="3"/>
  <c r="E53" i="3" s="1"/>
  <c r="I52" i="3"/>
  <c r="G52" i="3"/>
  <c r="H52" i="3" s="1"/>
  <c r="D52" i="3"/>
  <c r="E52" i="3" s="1"/>
  <c r="I51" i="3"/>
  <c r="G51" i="3"/>
  <c r="H51" i="3" s="1"/>
  <c r="D51" i="3"/>
  <c r="E51" i="3" s="1"/>
  <c r="I50" i="3"/>
  <c r="G50" i="3"/>
  <c r="H50" i="3" s="1"/>
  <c r="D50" i="3"/>
  <c r="E50" i="3" s="1"/>
  <c r="I49" i="3"/>
  <c r="G49" i="3"/>
  <c r="H49" i="3" s="1"/>
  <c r="D49" i="3"/>
  <c r="E49" i="3" s="1"/>
  <c r="I48" i="3"/>
  <c r="G48" i="3"/>
  <c r="H48" i="3" s="1"/>
  <c r="D48" i="3"/>
  <c r="E48" i="3" s="1"/>
  <c r="I47" i="3"/>
  <c r="G47" i="3"/>
  <c r="H47" i="3" s="1"/>
  <c r="D47" i="3"/>
  <c r="E47" i="3" s="1"/>
  <c r="I46" i="3"/>
  <c r="G46" i="3"/>
  <c r="H46" i="3" s="1"/>
  <c r="D46" i="3"/>
  <c r="E46" i="3" s="1"/>
  <c r="I45" i="3"/>
  <c r="G45" i="3"/>
  <c r="H45" i="3" s="1"/>
  <c r="D45" i="3"/>
  <c r="E45" i="3" s="1"/>
  <c r="I44" i="3"/>
  <c r="G44" i="3"/>
  <c r="H44" i="3" s="1"/>
  <c r="D44" i="3"/>
  <c r="E44" i="3" s="1"/>
  <c r="I43" i="3"/>
  <c r="G43" i="3"/>
  <c r="H43" i="3" s="1"/>
  <c r="D43" i="3"/>
  <c r="E43" i="3" s="1"/>
  <c r="I42" i="3"/>
  <c r="G42" i="3"/>
  <c r="H42" i="3" s="1"/>
  <c r="D42" i="3"/>
  <c r="E42" i="3" s="1"/>
  <c r="I41" i="3"/>
  <c r="G41" i="3"/>
  <c r="H41" i="3" s="1"/>
  <c r="D41" i="3"/>
  <c r="E41" i="3" s="1"/>
  <c r="I40" i="3"/>
  <c r="G40" i="3"/>
  <c r="H40" i="3" s="1"/>
  <c r="D40" i="3"/>
  <c r="E40" i="3" s="1"/>
  <c r="I39" i="3"/>
  <c r="G39" i="3"/>
  <c r="H39" i="3" s="1"/>
  <c r="D39" i="3"/>
  <c r="E39" i="3" s="1"/>
  <c r="I38" i="3"/>
  <c r="G38" i="3"/>
  <c r="H38" i="3" s="1"/>
  <c r="D38" i="3"/>
  <c r="E38" i="3" s="1"/>
  <c r="I37" i="3"/>
  <c r="G37" i="3"/>
  <c r="H37" i="3" s="1"/>
  <c r="D37" i="3"/>
  <c r="E37" i="3" s="1"/>
  <c r="I36" i="3"/>
  <c r="G36" i="3"/>
  <c r="H36" i="3" s="1"/>
  <c r="D36" i="3"/>
  <c r="E36" i="3" s="1"/>
  <c r="I35" i="3"/>
  <c r="G35" i="3"/>
  <c r="H35" i="3" s="1"/>
  <c r="D35" i="3"/>
  <c r="E35" i="3" s="1"/>
  <c r="I34" i="3"/>
  <c r="G34" i="3"/>
  <c r="H34" i="3" s="1"/>
  <c r="D34" i="3"/>
  <c r="E34" i="3" s="1"/>
  <c r="I33" i="3"/>
  <c r="G33" i="3"/>
  <c r="H33" i="3" s="1"/>
  <c r="D33" i="3"/>
  <c r="E33" i="3" s="1"/>
  <c r="I32" i="3"/>
  <c r="G32" i="3"/>
  <c r="H32" i="3" s="1"/>
  <c r="D32" i="3"/>
  <c r="E32" i="3" s="1"/>
  <c r="I31" i="3"/>
  <c r="G31" i="3"/>
  <c r="H31" i="3" s="1"/>
  <c r="D31" i="3"/>
  <c r="E31" i="3" s="1"/>
  <c r="I30" i="3"/>
  <c r="G30" i="3"/>
  <c r="H30" i="3" s="1"/>
  <c r="D30" i="3"/>
  <c r="E30" i="3" s="1"/>
  <c r="I29" i="3"/>
  <c r="G29" i="3"/>
  <c r="H29" i="3" s="1"/>
  <c r="D29" i="3"/>
  <c r="E29" i="3" s="1"/>
  <c r="I28" i="3"/>
  <c r="G28" i="3"/>
  <c r="H28" i="3" s="1"/>
  <c r="D28" i="3"/>
  <c r="E28" i="3" s="1"/>
  <c r="I27" i="3"/>
  <c r="G27" i="3"/>
  <c r="H27" i="3" s="1"/>
  <c r="D27" i="3"/>
  <c r="E27" i="3" s="1"/>
  <c r="I26" i="3"/>
  <c r="G26" i="3"/>
  <c r="H26" i="3" s="1"/>
  <c r="D26" i="3"/>
  <c r="E26" i="3" s="1"/>
  <c r="K8" i="39"/>
  <c r="G8" i="3"/>
  <c r="G7" i="3"/>
  <c r="G6" i="3"/>
  <c r="D8" i="3"/>
  <c r="D7" i="3"/>
  <c r="D6" i="3"/>
  <c r="G5" i="3"/>
  <c r="D5" i="3"/>
  <c r="I4" i="39"/>
  <c r="I5" i="39"/>
  <c r="I6" i="39"/>
  <c r="I7" i="39"/>
  <c r="I42" i="39"/>
  <c r="I3" i="39"/>
  <c r="J42" i="39"/>
  <c r="J7" i="39"/>
  <c r="K3" i="39"/>
  <c r="J3" i="39" s="1"/>
  <c r="B3" i="39"/>
  <c r="C3" i="39" s="1"/>
  <c r="D3" i="39" s="1"/>
  <c r="A4" i="39"/>
  <c r="B4" i="39" s="1"/>
  <c r="C4" i="39" s="1"/>
  <c r="D4" i="39" s="1"/>
  <c r="E4" i="39" s="1"/>
  <c r="F4" i="39" s="1"/>
  <c r="G4" i="39" s="1"/>
  <c r="F5" i="174" a="1"/>
  <c r="F5" i="178" a="1"/>
  <c r="F5" i="203" a="1"/>
  <c r="F5" i="209" a="1"/>
  <c r="F5" i="191" a="1"/>
  <c r="F5" i="199" a="1"/>
  <c r="F5" i="176" a="1"/>
  <c r="F5" i="208" a="1"/>
  <c r="F5" i="171" a="1"/>
  <c r="F5" i="201" a="1"/>
  <c r="F5" i="217" a="1"/>
  <c r="F5" i="216" a="1"/>
  <c r="F5" i="173" a="1"/>
  <c r="F5" i="188" a="1"/>
  <c r="F5" i="181" a="1"/>
  <c r="F5" i="218" a="1"/>
  <c r="F5" i="215" a="1"/>
  <c r="F5" i="211" a="1"/>
  <c r="F5" i="180" a="1"/>
  <c r="F5" i="183" a="1"/>
  <c r="F5" i="198" a="1"/>
  <c r="F5" i="189" a="1"/>
  <c r="F5" i="185" a="1"/>
  <c r="F5" i="179" a="1"/>
  <c r="F5" i="207" a="1"/>
  <c r="F5" i="220" a="1"/>
  <c r="F5" i="206" a="1"/>
  <c r="F5" i="210" a="1"/>
  <c r="F5" i="204" a="1"/>
  <c r="F5" i="213" a="1"/>
  <c r="F5" i="194" a="1"/>
  <c r="F5" i="205" a="1"/>
  <c r="F5" i="184" a="1"/>
  <c r="F5" i="202" a="1"/>
  <c r="F5" i="192" a="1"/>
  <c r="F5" i="186" a="1"/>
  <c r="F5" i="187" a="1"/>
  <c r="F5" i="190" a="1"/>
  <c r="F5" i="196" a="1"/>
  <c r="F5" i="214" a="1"/>
  <c r="F5" i="172" a="1"/>
  <c r="F5" i="175" a="1"/>
  <c r="F5" i="219" a="1"/>
  <c r="F5" i="193" a="1"/>
  <c r="F5" i="177" a="1"/>
  <c r="F5" i="182" a="1"/>
  <c r="F5" i="200" a="1"/>
  <c r="F5" i="195" a="1"/>
  <c r="F5" i="212" a="1"/>
  <c r="F5" i="197" a="1"/>
  <c r="F5" i="179" l="1"/>
  <c r="F5" i="171"/>
  <c r="B15" i="220"/>
  <c r="C10" i="220"/>
  <c r="B15" i="219"/>
  <c r="D10" i="219"/>
  <c r="C10" i="219"/>
  <c r="B15" i="218"/>
  <c r="B20" i="218" s="1"/>
  <c r="D10" i="218"/>
  <c r="C10" i="218"/>
  <c r="B15" i="217"/>
  <c r="D10" i="217"/>
  <c r="C10" i="217"/>
  <c r="B15" i="216"/>
  <c r="B20" i="216" s="1"/>
  <c r="D10" i="216"/>
  <c r="C10" i="216"/>
  <c r="B15" i="215"/>
  <c r="D10" i="215"/>
  <c r="C10" i="215"/>
  <c r="B15" i="214"/>
  <c r="D10" i="214"/>
  <c r="C10" i="214"/>
  <c r="B15" i="213"/>
  <c r="D10" i="213"/>
  <c r="C10" i="213"/>
  <c r="B15" i="212"/>
  <c r="B20" i="212" s="1"/>
  <c r="D10" i="212"/>
  <c r="C10" i="212"/>
  <c r="B15" i="211"/>
  <c r="C10" i="211"/>
  <c r="D10" i="210"/>
  <c r="B15" i="210"/>
  <c r="C10" i="210"/>
  <c r="B15" i="209"/>
  <c r="C10" i="209"/>
  <c r="B15" i="208"/>
  <c r="B20" i="208" s="1"/>
  <c r="D10" i="208"/>
  <c r="C10" i="208"/>
  <c r="B15" i="207"/>
  <c r="C10" i="207"/>
  <c r="B15" i="206"/>
  <c r="B20" i="206" s="1"/>
  <c r="D10" i="206"/>
  <c r="C10" i="206"/>
  <c r="B15" i="205"/>
  <c r="C10" i="205"/>
  <c r="B15" i="204"/>
  <c r="B20" i="204" s="1"/>
  <c r="D10" i="204"/>
  <c r="C10" i="204"/>
  <c r="B15" i="203"/>
  <c r="B20" i="203" s="1"/>
  <c r="D10" i="203"/>
  <c r="C10" i="203"/>
  <c r="B15" i="202"/>
  <c r="D10" i="202"/>
  <c r="C10" i="202"/>
  <c r="B15" i="201"/>
  <c r="B20" i="201" s="1"/>
  <c r="D10" i="201"/>
  <c r="C10" i="201"/>
  <c r="B15" i="200"/>
  <c r="B20" i="200" s="1"/>
  <c r="D10" i="200"/>
  <c r="C10" i="200"/>
  <c r="B15" i="199"/>
  <c r="B20" i="199" s="1"/>
  <c r="D10" i="199"/>
  <c r="C10" i="199"/>
  <c r="B15" i="198"/>
  <c r="B20" i="198" s="1"/>
  <c r="D10" i="198"/>
  <c r="C10" i="198"/>
  <c r="B15" i="197"/>
  <c r="D10" i="197"/>
  <c r="C10" i="197"/>
  <c r="D10" i="196"/>
  <c r="B15" i="196"/>
  <c r="B15" i="195"/>
  <c r="D10" i="195"/>
  <c r="C10" i="195"/>
  <c r="B15" i="194"/>
  <c r="B20" i="194" s="1"/>
  <c r="D10" i="194"/>
  <c r="C10" i="194"/>
  <c r="B15" i="193"/>
  <c r="D10" i="193"/>
  <c r="C10" i="193"/>
  <c r="B15" i="192"/>
  <c r="C10" i="192"/>
  <c r="B15" i="191"/>
  <c r="B20" i="191" s="1"/>
  <c r="D10" i="191"/>
  <c r="C10" i="191"/>
  <c r="B15" i="190"/>
  <c r="B20" i="190" s="1"/>
  <c r="D10" i="190"/>
  <c r="C10" i="190"/>
  <c r="B15" i="189"/>
  <c r="D10" i="189"/>
  <c r="C10" i="189"/>
  <c r="B15" i="188"/>
  <c r="D10" i="188"/>
  <c r="C10" i="188"/>
  <c r="B15" i="187"/>
  <c r="D10" i="187"/>
  <c r="C10" i="187"/>
  <c r="B15" i="186"/>
  <c r="B20" i="186" s="1"/>
  <c r="D10" i="186"/>
  <c r="C10" i="186"/>
  <c r="B15" i="185"/>
  <c r="D10" i="185"/>
  <c r="C10" i="185"/>
  <c r="B15" i="183"/>
  <c r="B20" i="183" s="1"/>
  <c r="D10" i="183"/>
  <c r="C10" i="183"/>
  <c r="B15" i="182"/>
  <c r="B20" i="182" s="1"/>
  <c r="D10" i="182"/>
  <c r="C10" i="182"/>
  <c r="B15" i="181"/>
  <c r="C10" i="181"/>
  <c r="B15" i="180"/>
  <c r="C10" i="180"/>
  <c r="B15" i="179"/>
  <c r="B20" i="179" s="1"/>
  <c r="D10" i="179"/>
  <c r="C10" i="179"/>
  <c r="B15" i="178"/>
  <c r="B20" i="178" s="1"/>
  <c r="D10" i="178"/>
  <c r="C10" i="178"/>
  <c r="B15" i="177"/>
  <c r="D10" i="177"/>
  <c r="C10" i="177"/>
  <c r="B15" i="176"/>
  <c r="C10" i="176"/>
  <c r="B15" i="175"/>
  <c r="D10" i="175"/>
  <c r="C10" i="175"/>
  <c r="B15" i="174"/>
  <c r="B20" i="174" s="1"/>
  <c r="D10" i="174"/>
  <c r="C10" i="174"/>
  <c r="B15" i="173"/>
  <c r="B20" i="173" s="1"/>
  <c r="D10" i="173"/>
  <c r="C10" i="173"/>
  <c r="B15" i="172"/>
  <c r="B20" i="172" s="1"/>
  <c r="D10" i="172"/>
  <c r="C10" i="172"/>
  <c r="B15" i="171"/>
  <c r="B20" i="171" s="1"/>
  <c r="D10" i="171"/>
  <c r="C10" i="171"/>
  <c r="B15" i="184"/>
  <c r="D10" i="184"/>
  <c r="C10" i="184"/>
  <c r="F5" i="220"/>
  <c r="B20" i="220"/>
  <c r="D15" i="220"/>
  <c r="C15" i="220"/>
  <c r="D10" i="220"/>
  <c r="F5" i="219"/>
  <c r="D15" i="219"/>
  <c r="F5" i="218"/>
  <c r="D20" i="218"/>
  <c r="C20" i="218"/>
  <c r="B25" i="218"/>
  <c r="C15" i="218"/>
  <c r="D15" i="218"/>
  <c r="F5" i="217"/>
  <c r="C15" i="217"/>
  <c r="F5" i="216"/>
  <c r="D20" i="216"/>
  <c r="C20" i="216"/>
  <c r="B25" i="216"/>
  <c r="C15" i="216"/>
  <c r="D15" i="216"/>
  <c r="F5" i="215"/>
  <c r="D15" i="215"/>
  <c r="F5" i="214"/>
  <c r="B20" i="214"/>
  <c r="D15" i="214"/>
  <c r="C15" i="214"/>
  <c r="F5" i="213"/>
  <c r="D15" i="213"/>
  <c r="F5" i="212"/>
  <c r="D20" i="212"/>
  <c r="C20" i="212"/>
  <c r="B25" i="212"/>
  <c r="C15" i="212"/>
  <c r="D15" i="212"/>
  <c r="F5" i="211"/>
  <c r="B20" i="211"/>
  <c r="D15" i="211"/>
  <c r="C15" i="211"/>
  <c r="D10" i="211"/>
  <c r="F5" i="210"/>
  <c r="C15" i="210"/>
  <c r="F5" i="209"/>
  <c r="B20" i="209"/>
  <c r="D15" i="209"/>
  <c r="C15" i="209"/>
  <c r="D10" i="209"/>
  <c r="F5" i="208"/>
  <c r="D20" i="208"/>
  <c r="C20" i="208"/>
  <c r="B25" i="208"/>
  <c r="C15" i="208"/>
  <c r="D15" i="208"/>
  <c r="F5" i="207"/>
  <c r="B20" i="207"/>
  <c r="D15" i="207"/>
  <c r="C15" i="207"/>
  <c r="D10" i="207"/>
  <c r="F5" i="206"/>
  <c r="D20" i="206"/>
  <c r="C20" i="206"/>
  <c r="B25" i="206"/>
  <c r="C15" i="206"/>
  <c r="D15" i="206"/>
  <c r="F5" i="205"/>
  <c r="B20" i="205"/>
  <c r="D15" i="205"/>
  <c r="C15" i="205"/>
  <c r="D10" i="205"/>
  <c r="F5" i="204"/>
  <c r="D20" i="204"/>
  <c r="C20" i="204"/>
  <c r="B25" i="204"/>
  <c r="C15" i="204"/>
  <c r="D15" i="204"/>
  <c r="F5" i="203"/>
  <c r="D20" i="203"/>
  <c r="C20" i="203"/>
  <c r="B25" i="203"/>
  <c r="C15" i="203"/>
  <c r="D15" i="203"/>
  <c r="F5" i="202"/>
  <c r="C15" i="202"/>
  <c r="F5" i="201"/>
  <c r="D20" i="201"/>
  <c r="C20" i="201"/>
  <c r="B25" i="201"/>
  <c r="C15" i="201"/>
  <c r="D15" i="201"/>
  <c r="F5" i="200"/>
  <c r="D20" i="200"/>
  <c r="C20" i="200"/>
  <c r="B25" i="200"/>
  <c r="C15" i="200"/>
  <c r="D15" i="200"/>
  <c r="F5" i="199"/>
  <c r="D20" i="199"/>
  <c r="C20" i="199"/>
  <c r="B25" i="199"/>
  <c r="C15" i="199"/>
  <c r="D15" i="199"/>
  <c r="F5" i="198"/>
  <c r="D20" i="198"/>
  <c r="C20" i="198"/>
  <c r="B25" i="198"/>
  <c r="C15" i="198"/>
  <c r="D15" i="198"/>
  <c r="F5" i="197"/>
  <c r="D15" i="197"/>
  <c r="F5" i="196"/>
  <c r="C10" i="196"/>
  <c r="C15" i="196"/>
  <c r="F5" i="195"/>
  <c r="D15" i="195"/>
  <c r="F5" i="194"/>
  <c r="D20" i="194"/>
  <c r="C20" i="194"/>
  <c r="B25" i="194"/>
  <c r="C15" i="194"/>
  <c r="D15" i="194"/>
  <c r="F5" i="193"/>
  <c r="B20" i="193"/>
  <c r="D15" i="193"/>
  <c r="C15" i="193"/>
  <c r="F5" i="192"/>
  <c r="B20" i="192"/>
  <c r="D15" i="192"/>
  <c r="C15" i="192"/>
  <c r="D10" i="192"/>
  <c r="F5" i="191"/>
  <c r="D20" i="191"/>
  <c r="C20" i="191"/>
  <c r="B25" i="191"/>
  <c r="C15" i="191"/>
  <c r="D15" i="191"/>
  <c r="F5" i="190"/>
  <c r="D20" i="190"/>
  <c r="C20" i="190"/>
  <c r="B25" i="190"/>
  <c r="C15" i="190"/>
  <c r="D15" i="190"/>
  <c r="F5" i="189"/>
  <c r="B20" i="189"/>
  <c r="D15" i="189"/>
  <c r="C15" i="189"/>
  <c r="F5" i="188"/>
  <c r="B20" i="188"/>
  <c r="D15" i="188"/>
  <c r="C15" i="188"/>
  <c r="F5" i="187"/>
  <c r="B20" i="187"/>
  <c r="D15" i="187"/>
  <c r="C15" i="187"/>
  <c r="F5" i="186"/>
  <c r="D20" i="186"/>
  <c r="C20" i="186"/>
  <c r="B25" i="186"/>
  <c r="C15" i="186"/>
  <c r="D15" i="186"/>
  <c r="F5" i="185"/>
  <c r="B20" i="185"/>
  <c r="D15" i="185"/>
  <c r="C15" i="185"/>
  <c r="F5" i="184"/>
  <c r="B20" i="184"/>
  <c r="D15" i="184"/>
  <c r="C15" i="184"/>
  <c r="F5" i="183"/>
  <c r="D20" i="183"/>
  <c r="C20" i="183"/>
  <c r="B25" i="183"/>
  <c r="C15" i="183"/>
  <c r="D15" i="183"/>
  <c r="F5" i="182"/>
  <c r="D20" i="182"/>
  <c r="C20" i="182"/>
  <c r="B25" i="182"/>
  <c r="C15" i="182"/>
  <c r="D15" i="182"/>
  <c r="F5" i="181"/>
  <c r="B20" i="181"/>
  <c r="D15" i="181"/>
  <c r="C15" i="181"/>
  <c r="D10" i="181"/>
  <c r="F5" i="180"/>
  <c r="B20" i="180"/>
  <c r="D15" i="180"/>
  <c r="C15" i="180"/>
  <c r="D10" i="180"/>
  <c r="D20" i="179"/>
  <c r="C20" i="179"/>
  <c r="B25" i="179"/>
  <c r="C15" i="179"/>
  <c r="D15" i="179"/>
  <c r="F5" i="178"/>
  <c r="D20" i="178"/>
  <c r="C20" i="178"/>
  <c r="B25" i="178"/>
  <c r="C15" i="178"/>
  <c r="D15" i="178"/>
  <c r="F5" i="177"/>
  <c r="F5" i="176"/>
  <c r="B20" i="176"/>
  <c r="D15" i="176"/>
  <c r="C15" i="176"/>
  <c r="D10" i="176"/>
  <c r="F5" i="175"/>
  <c r="F5" i="174"/>
  <c r="D20" i="174"/>
  <c r="C20" i="174"/>
  <c r="B25" i="174"/>
  <c r="C15" i="174"/>
  <c r="D15" i="174"/>
  <c r="F5" i="173"/>
  <c r="D20" i="173"/>
  <c r="C20" i="173"/>
  <c r="B25" i="173"/>
  <c r="C15" i="173"/>
  <c r="D15" i="173"/>
  <c r="F5" i="172"/>
  <c r="D20" i="172"/>
  <c r="C20" i="172"/>
  <c r="B25" i="172"/>
  <c r="C15" i="172"/>
  <c r="D15" i="172"/>
  <c r="D20" i="171"/>
  <c r="B25" i="171"/>
  <c r="C20" i="171"/>
  <c r="C15" i="171"/>
  <c r="D15" i="171"/>
  <c r="K4" i="39"/>
  <c r="J4" i="39" s="1"/>
  <c r="L4" i="39"/>
  <c r="A5" i="39"/>
  <c r="K5" i="39" s="1"/>
  <c r="J5" i="39" s="1"/>
  <c r="E3" i="39"/>
  <c r="L3" i="39" s="1"/>
  <c r="A2" i="1" a="1"/>
  <c r="A2" i="1" s="1"/>
  <c r="I5" i="3"/>
  <c r="C5" i="1"/>
  <c r="H8" i="3"/>
  <c r="E8" i="3"/>
  <c r="H7" i="3"/>
  <c r="E7" i="3"/>
  <c r="H6" i="3"/>
  <c r="E6" i="3"/>
  <c r="H5" i="3"/>
  <c r="E5" i="3"/>
  <c r="F10" i="213" a="1"/>
  <c r="F10" i="210" a="1"/>
  <c r="F10" i="201" a="1"/>
  <c r="F10" i="187" a="1"/>
  <c r="F10" i="176" a="1"/>
  <c r="F20" i="173" a="1"/>
  <c r="F15" i="185" a="1"/>
  <c r="F10" i="220" a="1"/>
  <c r="F15" i="193" a="1"/>
  <c r="F10" i="218" a="1"/>
  <c r="F10" i="198" a="1"/>
  <c r="F10" i="195" a="1"/>
  <c r="F10" i="183" a="1"/>
  <c r="F10" i="177" a="1"/>
  <c r="F10" i="174" a="1"/>
  <c r="F15" i="189" a="1"/>
  <c r="F15" i="179" a="1"/>
  <c r="F20" i="194" a="1"/>
  <c r="F20" i="190" a="1"/>
  <c r="F10" i="209" a="1"/>
  <c r="F20" i="182" a="1"/>
  <c r="F15" i="200" a="1"/>
  <c r="F15" i="208" a="1"/>
  <c r="F20" i="171" a="1"/>
  <c r="F10" i="192" a="1"/>
  <c r="F20" i="201" a="1"/>
  <c r="F20" i="206" a="1"/>
  <c r="F20" i="218" a="1"/>
  <c r="F15" i="178" a="1"/>
  <c r="F10" i="215" a="1"/>
  <c r="F10" i="206" a="1"/>
  <c r="F10" i="203" a="1"/>
  <c r="F10" i="189" a="1"/>
  <c r="F10" i="171" a="1"/>
  <c r="F20" i="216" a="1"/>
  <c r="F15" i="180" a="1"/>
  <c r="F20" i="174" a="1"/>
  <c r="F20" i="183" a="1"/>
  <c r="F15" i="218" a="1"/>
  <c r="F20" i="199" a="1"/>
  <c r="F15" i="201" a="1"/>
  <c r="F15" i="171" a="1"/>
  <c r="F15" i="204" a="1"/>
  <c r="F20" i="172" a="1"/>
  <c r="F10" i="212" a="1"/>
  <c r="F10" i="200" a="1"/>
  <c r="F10" i="186" a="1"/>
  <c r="F10" i="179" a="1"/>
  <c r="F20" i="191" a="1"/>
  <c r="F20" i="203" a="1"/>
  <c r="F20" i="178" a="1"/>
  <c r="F15" i="207" a="1"/>
  <c r="F15" i="190" a="1"/>
  <c r="F10" i="181" a="1"/>
  <c r="F20" i="179" a="1"/>
  <c r="F15" i="187" a="1"/>
  <c r="F15" i="192" a="1"/>
  <c r="F10" i="184" a="1"/>
  <c r="F15" i="174" a="1"/>
  <c r="F10" i="211" a="1"/>
  <c r="F15" i="211" a="1"/>
  <c r="F15" i="188" a="1"/>
  <c r="F15" i="198" a="1"/>
  <c r="F15" i="209" a="1"/>
  <c r="F15" i="212" a="1"/>
  <c r="F10" i="217" a="1"/>
  <c r="F10" i="197" a="1"/>
  <c r="F10" i="194" a="1"/>
  <c r="F10" i="191" a="1"/>
  <c r="F10" i="182" a="1"/>
  <c r="F10" i="173" a="1"/>
  <c r="F20" i="204" a="1"/>
  <c r="F15" i="184" a="1"/>
  <c r="F10" i="207" a="1"/>
  <c r="F15" i="172" a="1"/>
  <c r="F15" i="206" a="1"/>
  <c r="F15" i="203" a="1"/>
  <c r="F10" i="205" a="1"/>
  <c r="F15" i="191" a="1"/>
  <c r="F15" i="220" a="1"/>
  <c r="F10" i="214" a="1"/>
  <c r="F10" i="208" a="1"/>
  <c r="F10" i="202" a="1"/>
  <c r="F10" i="188" a="1"/>
  <c r="F15" i="176" a="1"/>
  <c r="F10" i="180" a="1"/>
  <c r="F10" i="196" a="1"/>
  <c r="F20" i="198" a="1"/>
  <c r="F15" i="173" a="1"/>
  <c r="F10" i="219" a="1"/>
  <c r="F10" i="199" a="1"/>
  <c r="F10" i="185" a="1"/>
  <c r="F10" i="178" a="1"/>
  <c r="F10" i="175" a="1"/>
  <c r="F15" i="199" a="1"/>
  <c r="F15" i="186" a="1"/>
  <c r="F15" i="183" a="1"/>
  <c r="F20" i="186" a="1"/>
  <c r="F20" i="212" a="1"/>
  <c r="F15" i="205" a="1"/>
  <c r="F20" i="200" a="1"/>
  <c r="F20" i="208" a="1"/>
  <c r="F15" i="214" a="1"/>
  <c r="F10" i="216" a="1"/>
  <c r="F10" i="204" a="1"/>
  <c r="F10" i="193" a="1"/>
  <c r="F10" i="190" a="1"/>
  <c r="F10" i="172" a="1"/>
  <c r="F15" i="181" a="1"/>
  <c r="F15" i="182" a="1"/>
  <c r="F15" i="194" a="1"/>
  <c r="F15" i="216" a="1"/>
  <c r="F10" i="172" l="1"/>
  <c r="F10" i="190"/>
  <c r="F10" i="193"/>
  <c r="F10" i="204"/>
  <c r="F10" i="216"/>
  <c r="F10" i="175"/>
  <c r="F10" i="178"/>
  <c r="F10" i="185"/>
  <c r="F10" i="199"/>
  <c r="F10" i="219"/>
  <c r="F10" i="188"/>
  <c r="F10" i="202"/>
  <c r="F10" i="208"/>
  <c r="F10" i="214"/>
  <c r="F10" i="173"/>
  <c r="F10" i="182"/>
  <c r="F10" i="191"/>
  <c r="F10" i="194"/>
  <c r="F10" i="197"/>
  <c r="F10" i="217"/>
  <c r="F10" i="184"/>
  <c r="F10" i="179"/>
  <c r="F10" i="186"/>
  <c r="F10" i="200"/>
  <c r="F10" i="212"/>
  <c r="F10" i="171"/>
  <c r="F10" i="189"/>
  <c r="F10" i="203"/>
  <c r="F10" i="206"/>
  <c r="F10" i="215"/>
  <c r="F10" i="174"/>
  <c r="F10" i="177"/>
  <c r="F10" i="183"/>
  <c r="F10" i="195"/>
  <c r="F10" i="198"/>
  <c r="F10" i="218"/>
  <c r="F10" i="187"/>
  <c r="F10" i="201"/>
  <c r="F10" i="210"/>
  <c r="F10" i="213"/>
  <c r="B20" i="219"/>
  <c r="C15" i="219"/>
  <c r="D15" i="217"/>
  <c r="B20" i="217"/>
  <c r="B20" i="215"/>
  <c r="C15" i="215"/>
  <c r="B20" i="213"/>
  <c r="C15" i="213"/>
  <c r="B20" i="210"/>
  <c r="D15" i="210"/>
  <c r="B20" i="202"/>
  <c r="D15" i="202"/>
  <c r="B20" i="197"/>
  <c r="C15" i="197"/>
  <c r="B20" i="196"/>
  <c r="D15" i="196"/>
  <c r="B20" i="195"/>
  <c r="C15" i="195"/>
  <c r="C15" i="177"/>
  <c r="B20" i="177"/>
  <c r="D15" i="177"/>
  <c r="B20" i="175"/>
  <c r="D15" i="175"/>
  <c r="C15" i="175"/>
  <c r="F10" i="220"/>
  <c r="F15" i="220"/>
  <c r="D20" i="220"/>
  <c r="C20" i="220"/>
  <c r="B25" i="220"/>
  <c r="F20" i="218"/>
  <c r="F15" i="218"/>
  <c r="B30" i="218"/>
  <c r="D25" i="218"/>
  <c r="C25" i="218"/>
  <c r="F20" i="216"/>
  <c r="F15" i="216"/>
  <c r="B30" i="216"/>
  <c r="D25" i="216"/>
  <c r="C25" i="216"/>
  <c r="F15" i="214"/>
  <c r="D20" i="214"/>
  <c r="C20" i="214"/>
  <c r="B25" i="214"/>
  <c r="F15" i="212"/>
  <c r="F20" i="212"/>
  <c r="B30" i="212"/>
  <c r="D25" i="212"/>
  <c r="C25" i="212"/>
  <c r="F10" i="211"/>
  <c r="F15" i="211"/>
  <c r="D20" i="211"/>
  <c r="C20" i="211"/>
  <c r="B25" i="211"/>
  <c r="F10" i="209"/>
  <c r="F15" i="209"/>
  <c r="D20" i="209"/>
  <c r="C20" i="209"/>
  <c r="B25" i="209"/>
  <c r="F15" i="208"/>
  <c r="F20" i="208"/>
  <c r="B30" i="208"/>
  <c r="D25" i="208"/>
  <c r="C25" i="208"/>
  <c r="F10" i="207"/>
  <c r="F15" i="207"/>
  <c r="D20" i="207"/>
  <c r="C20" i="207"/>
  <c r="B25" i="207"/>
  <c r="F15" i="206"/>
  <c r="F20" i="206"/>
  <c r="B30" i="206"/>
  <c r="D25" i="206"/>
  <c r="C25" i="206"/>
  <c r="F10" i="205"/>
  <c r="F15" i="205"/>
  <c r="D20" i="205"/>
  <c r="C20" i="205"/>
  <c r="B25" i="205"/>
  <c r="F15" i="204"/>
  <c r="F20" i="204"/>
  <c r="B30" i="204"/>
  <c r="D25" i="204"/>
  <c r="C25" i="204"/>
  <c r="F20" i="203"/>
  <c r="F15" i="203"/>
  <c r="B30" i="203"/>
  <c r="D25" i="203"/>
  <c r="C25" i="203"/>
  <c r="F20" i="201"/>
  <c r="F15" i="201"/>
  <c r="B30" i="201"/>
  <c r="D25" i="201"/>
  <c r="C25" i="201"/>
  <c r="F20" i="200"/>
  <c r="F15" i="200"/>
  <c r="B30" i="200"/>
  <c r="D25" i="200"/>
  <c r="C25" i="200"/>
  <c r="F20" i="199"/>
  <c r="F15" i="199"/>
  <c r="B30" i="199"/>
  <c r="D25" i="199"/>
  <c r="C25" i="199"/>
  <c r="F15" i="198"/>
  <c r="F20" i="198"/>
  <c r="B30" i="198"/>
  <c r="D25" i="198"/>
  <c r="C25" i="198"/>
  <c r="F10" i="196"/>
  <c r="F20" i="194"/>
  <c r="F15" i="194"/>
  <c r="B30" i="194"/>
  <c r="D25" i="194"/>
  <c r="C25" i="194"/>
  <c r="F15" i="193"/>
  <c r="D20" i="193"/>
  <c r="C20" i="193"/>
  <c r="B25" i="193"/>
  <c r="F15" i="192"/>
  <c r="F10" i="192"/>
  <c r="D20" i="192"/>
  <c r="C20" i="192"/>
  <c r="B25" i="192"/>
  <c r="F15" i="191"/>
  <c r="F20" i="191"/>
  <c r="B30" i="191"/>
  <c r="D25" i="191"/>
  <c r="C25" i="191"/>
  <c r="F15" i="190"/>
  <c r="F20" i="190"/>
  <c r="B30" i="190"/>
  <c r="D25" i="190"/>
  <c r="C25" i="190"/>
  <c r="F15" i="189"/>
  <c r="D20" i="189"/>
  <c r="C20" i="189"/>
  <c r="B25" i="189"/>
  <c r="F15" i="188"/>
  <c r="D20" i="188"/>
  <c r="C20" i="188"/>
  <c r="B25" i="188"/>
  <c r="F15" i="187"/>
  <c r="D20" i="187"/>
  <c r="C20" i="187"/>
  <c r="B25" i="187"/>
  <c r="F15" i="186"/>
  <c r="F20" i="186"/>
  <c r="B30" i="186"/>
  <c r="D25" i="186"/>
  <c r="C25" i="186"/>
  <c r="F15" i="185"/>
  <c r="D20" i="185"/>
  <c r="C20" i="185"/>
  <c r="B25" i="185"/>
  <c r="F15" i="184"/>
  <c r="D20" i="184"/>
  <c r="C20" i="184"/>
  <c r="B25" i="184"/>
  <c r="F15" i="183"/>
  <c r="F20" i="183"/>
  <c r="B30" i="183"/>
  <c r="D25" i="183"/>
  <c r="C25" i="183"/>
  <c r="F15" i="182"/>
  <c r="F20" i="182"/>
  <c r="B30" i="182"/>
  <c r="D25" i="182"/>
  <c r="C25" i="182"/>
  <c r="F10" i="181"/>
  <c r="F15" i="181"/>
  <c r="D20" i="181"/>
  <c r="C20" i="181"/>
  <c r="B25" i="181"/>
  <c r="F15" i="180"/>
  <c r="F10" i="180"/>
  <c r="D20" i="180"/>
  <c r="C20" i="180"/>
  <c r="B25" i="180"/>
  <c r="F15" i="179"/>
  <c r="F20" i="179"/>
  <c r="B30" i="179"/>
  <c r="D25" i="179"/>
  <c r="C25" i="179"/>
  <c r="F15" i="178"/>
  <c r="F20" i="178"/>
  <c r="B30" i="178"/>
  <c r="D25" i="178"/>
  <c r="C25" i="178"/>
  <c r="F10" i="176"/>
  <c r="F15" i="176"/>
  <c r="D20" i="176"/>
  <c r="C20" i="176"/>
  <c r="B25" i="176"/>
  <c r="F15" i="174"/>
  <c r="F20" i="174"/>
  <c r="B30" i="174"/>
  <c r="D25" i="174"/>
  <c r="C25" i="174"/>
  <c r="F20" i="173"/>
  <c r="F15" i="173"/>
  <c r="B30" i="173"/>
  <c r="D25" i="173"/>
  <c r="C25" i="173"/>
  <c r="F15" i="172"/>
  <c r="F20" i="172"/>
  <c r="B30" i="172"/>
  <c r="D25" i="172"/>
  <c r="C25" i="172"/>
  <c r="F15" i="171"/>
  <c r="F20" i="171"/>
  <c r="B30" i="171"/>
  <c r="D25" i="171"/>
  <c r="C25" i="171"/>
  <c r="B5" i="39"/>
  <c r="A6" i="39"/>
  <c r="K6" i="39" s="1"/>
  <c r="J6" i="39" s="1"/>
  <c r="F3" i="39"/>
  <c r="I25" i="3"/>
  <c r="I24" i="3"/>
  <c r="I23" i="3"/>
  <c r="I22" i="3"/>
  <c r="I21" i="3"/>
  <c r="I20" i="3"/>
  <c r="I19" i="3"/>
  <c r="I18" i="3"/>
  <c r="I17" i="3"/>
  <c r="I16" i="3"/>
  <c r="I15" i="3"/>
  <c r="I14" i="3"/>
  <c r="I11" i="3"/>
  <c r="I10" i="3"/>
  <c r="I9" i="3"/>
  <c r="I8" i="3"/>
  <c r="I7" i="3"/>
  <c r="I6" i="3"/>
  <c r="D5" i="1"/>
  <c r="B10" i="1"/>
  <c r="F20" i="181" a="1"/>
  <c r="F20" i="207" a="1"/>
  <c r="F20" i="185" a="1"/>
  <c r="F25" i="199" a="1"/>
  <c r="F20" i="211" a="1"/>
  <c r="F25" i="203" a="1"/>
  <c r="F15" i="219" a="1"/>
  <c r="F15" i="210" a="1"/>
  <c r="F15" i="195" a="1"/>
  <c r="F25" i="212" a="1"/>
  <c r="F25" i="178" a="1"/>
  <c r="F20" i="176" a="1"/>
  <c r="F25" i="206" a="1"/>
  <c r="F25" i="172" a="1"/>
  <c r="F20" i="214" a="1"/>
  <c r="F15" i="215" a="1"/>
  <c r="F25" i="201" a="1"/>
  <c r="F20" i="188" a="1"/>
  <c r="F20" i="220" a="1"/>
  <c r="F25" i="171" a="1"/>
  <c r="F15" i="213" a="1"/>
  <c r="F25" i="208" a="1"/>
  <c r="F15" i="217" a="1"/>
  <c r="F20" i="189" a="1"/>
  <c r="F20" i="180" a="1"/>
  <c r="F20" i="192" a="1"/>
  <c r="F25" i="200" a="1"/>
  <c r="F20" i="184" a="1"/>
  <c r="F25" i="179" a="1"/>
  <c r="F25" i="194" a="1"/>
  <c r="F15" i="175" a="1"/>
  <c r="F25" i="174" a="1"/>
  <c r="F15" i="202" a="1"/>
  <c r="F20" i="209" a="1"/>
  <c r="F25" i="198" a="1"/>
  <c r="F25" i="204" a="1"/>
  <c r="F25" i="173" a="1"/>
  <c r="F25" i="186" a="1"/>
  <c r="F15" i="197" a="1"/>
  <c r="F25" i="190" a="1"/>
  <c r="F15" i="196" a="1"/>
  <c r="F25" i="183" a="1"/>
  <c r="F25" i="182" a="1"/>
  <c r="F5" i="1" a="1"/>
  <c r="F25" i="216" a="1"/>
  <c r="F20" i="205" a="1"/>
  <c r="F20" i="193" a="1"/>
  <c r="F25" i="191" a="1"/>
  <c r="F20" i="187" a="1"/>
  <c r="F25" i="218" a="1"/>
  <c r="F15" i="196" l="1"/>
  <c r="F15" i="197"/>
  <c r="F15" i="202"/>
  <c r="F15" i="175"/>
  <c r="F15" i="217"/>
  <c r="F15" i="213"/>
  <c r="F15" i="215"/>
  <c r="F15" i="195"/>
  <c r="F15" i="210"/>
  <c r="F15" i="219"/>
  <c r="D20" i="219"/>
  <c r="C20" i="219"/>
  <c r="B25" i="219"/>
  <c r="D20" i="217"/>
  <c r="B25" i="217"/>
  <c r="C20" i="217"/>
  <c r="D20" i="215"/>
  <c r="C20" i="215"/>
  <c r="B25" i="215"/>
  <c r="D20" i="213"/>
  <c r="C20" i="213"/>
  <c r="B25" i="213"/>
  <c r="D20" i="210"/>
  <c r="C20" i="210"/>
  <c r="B25" i="210"/>
  <c r="D20" i="202"/>
  <c r="C20" i="202"/>
  <c r="B25" i="202"/>
  <c r="D20" i="197"/>
  <c r="C20" i="197"/>
  <c r="B25" i="197"/>
  <c r="D20" i="196"/>
  <c r="C20" i="196"/>
  <c r="B25" i="196"/>
  <c r="D20" i="195"/>
  <c r="C20" i="195"/>
  <c r="B25" i="195"/>
  <c r="D20" i="177"/>
  <c r="C20" i="177"/>
  <c r="B25" i="177"/>
  <c r="D20" i="175"/>
  <c r="C20" i="175"/>
  <c r="B25" i="175"/>
  <c r="F20" i="220"/>
  <c r="B30" i="220"/>
  <c r="D25" i="220"/>
  <c r="C25" i="220"/>
  <c r="F25" i="218"/>
  <c r="D30" i="218"/>
  <c r="C30" i="218"/>
  <c r="B35" i="218"/>
  <c r="F25" i="216"/>
  <c r="B35" i="216"/>
  <c r="D30" i="216"/>
  <c r="C30" i="216"/>
  <c r="F20" i="214"/>
  <c r="B30" i="214"/>
  <c r="D25" i="214"/>
  <c r="C25" i="214"/>
  <c r="F25" i="212"/>
  <c r="D30" i="212"/>
  <c r="C30" i="212"/>
  <c r="B35" i="212"/>
  <c r="F20" i="211"/>
  <c r="B30" i="211"/>
  <c r="D25" i="211"/>
  <c r="C25" i="211"/>
  <c r="F20" i="209"/>
  <c r="B30" i="209"/>
  <c r="D25" i="209"/>
  <c r="C25" i="209"/>
  <c r="F25" i="208"/>
  <c r="D30" i="208"/>
  <c r="C30" i="208"/>
  <c r="B35" i="208"/>
  <c r="F20" i="207"/>
  <c r="B30" i="207"/>
  <c r="D25" i="207"/>
  <c r="C25" i="207"/>
  <c r="F25" i="206"/>
  <c r="D30" i="206"/>
  <c r="C30" i="206"/>
  <c r="B35" i="206"/>
  <c r="F20" i="205"/>
  <c r="B30" i="205"/>
  <c r="D25" i="205"/>
  <c r="C25" i="205"/>
  <c r="F25" i="204"/>
  <c r="D30" i="204"/>
  <c r="C30" i="204"/>
  <c r="B35" i="204"/>
  <c r="F25" i="203"/>
  <c r="D30" i="203"/>
  <c r="C30" i="203"/>
  <c r="B35" i="203"/>
  <c r="F25" i="201"/>
  <c r="D30" i="201"/>
  <c r="C30" i="201"/>
  <c r="B35" i="201"/>
  <c r="F25" i="200"/>
  <c r="D30" i="200"/>
  <c r="C30" i="200"/>
  <c r="B35" i="200"/>
  <c r="F25" i="199"/>
  <c r="D30" i="199"/>
  <c r="C30" i="199"/>
  <c r="B35" i="199"/>
  <c r="F25" i="198"/>
  <c r="D30" i="198"/>
  <c r="C30" i="198"/>
  <c r="B35" i="198"/>
  <c r="F25" i="194"/>
  <c r="D30" i="194"/>
  <c r="C30" i="194"/>
  <c r="B35" i="194"/>
  <c r="F20" i="193"/>
  <c r="B30" i="193"/>
  <c r="D25" i="193"/>
  <c r="C25" i="193"/>
  <c r="F20" i="192"/>
  <c r="B30" i="192"/>
  <c r="D25" i="192"/>
  <c r="C25" i="192"/>
  <c r="F25" i="191"/>
  <c r="D30" i="191"/>
  <c r="C30" i="191"/>
  <c r="B35" i="191"/>
  <c r="F25" i="190"/>
  <c r="D30" i="190"/>
  <c r="C30" i="190"/>
  <c r="B35" i="190"/>
  <c r="F20" i="189"/>
  <c r="B30" i="189"/>
  <c r="D25" i="189"/>
  <c r="C25" i="189"/>
  <c r="F20" i="188"/>
  <c r="B30" i="188"/>
  <c r="D25" i="188"/>
  <c r="C25" i="188"/>
  <c r="F20" i="187"/>
  <c r="B30" i="187"/>
  <c r="D25" i="187"/>
  <c r="C25" i="187"/>
  <c r="F25" i="186"/>
  <c r="D30" i="186"/>
  <c r="C30" i="186"/>
  <c r="B35" i="186"/>
  <c r="F20" i="185"/>
  <c r="B30" i="185"/>
  <c r="D25" i="185"/>
  <c r="C25" i="185"/>
  <c r="F20" i="184"/>
  <c r="B30" i="184"/>
  <c r="D25" i="184"/>
  <c r="C25" i="184"/>
  <c r="F25" i="183"/>
  <c r="D30" i="183"/>
  <c r="C30" i="183"/>
  <c r="B35" i="183"/>
  <c r="F25" i="182"/>
  <c r="D30" i="182"/>
  <c r="C30" i="182"/>
  <c r="B35" i="182"/>
  <c r="F20" i="181"/>
  <c r="B30" i="181"/>
  <c r="D25" i="181"/>
  <c r="C25" i="181"/>
  <c r="F20" i="180"/>
  <c r="B30" i="180"/>
  <c r="D25" i="180"/>
  <c r="C25" i="180"/>
  <c r="F25" i="179"/>
  <c r="D30" i="179"/>
  <c r="C30" i="179"/>
  <c r="B35" i="179"/>
  <c r="F25" i="178"/>
  <c r="B35" i="178"/>
  <c r="D30" i="178"/>
  <c r="C30" i="178"/>
  <c r="F20" i="176"/>
  <c r="B30" i="176"/>
  <c r="D25" i="176"/>
  <c r="C25" i="176"/>
  <c r="F25" i="174"/>
  <c r="D30" i="174"/>
  <c r="C30" i="174"/>
  <c r="B35" i="174"/>
  <c r="F25" i="173"/>
  <c r="D30" i="173"/>
  <c r="C30" i="173"/>
  <c r="B35" i="173"/>
  <c r="F25" i="172"/>
  <c r="D30" i="172"/>
  <c r="C30" i="172"/>
  <c r="B38" i="172"/>
  <c r="F25" i="171"/>
  <c r="D30" i="171"/>
  <c r="C30" i="171"/>
  <c r="B37" i="171"/>
  <c r="C5" i="39"/>
  <c r="B6" i="39"/>
  <c r="A7" i="39"/>
  <c r="G3" i="39"/>
  <c r="F5" i="1"/>
  <c r="D10" i="1"/>
  <c r="C10" i="1"/>
  <c r="B15" i="1"/>
  <c r="C15" i="1" s="1"/>
  <c r="F20" i="215" a="1"/>
  <c r="F30" i="173" a="1"/>
  <c r="F30" i="199" a="1"/>
  <c r="F25" i="211" a="1"/>
  <c r="F30" i="183" a="1"/>
  <c r="F25" i="187" a="1"/>
  <c r="F30" i="174" a="1"/>
  <c r="F30" i="194" a="1"/>
  <c r="F25" i="185" a="1"/>
  <c r="F20" i="219" a="1"/>
  <c r="F20" i="195" a="1"/>
  <c r="F30" i="182" a="1"/>
  <c r="F30" i="186" a="1"/>
  <c r="F25" i="181" a="1"/>
  <c r="F30" i="171" a="1"/>
  <c r="F30" i="201" a="1"/>
  <c r="F25" i="220" a="1"/>
  <c r="F20" i="210" a="1"/>
  <c r="F30" i="218" a="1"/>
  <c r="F20" i="196" a="1"/>
  <c r="F25" i="192" a="1"/>
  <c r="F20" i="202" a="1"/>
  <c r="F20" i="175" a="1"/>
  <c r="F30" i="216" a="1"/>
  <c r="F25" i="214" a="1"/>
  <c r="F30" i="172" a="1"/>
  <c r="F30" i="178" a="1"/>
  <c r="F30" i="179" a="1"/>
  <c r="F25" i="209" a="1"/>
  <c r="F30" i="190" a="1"/>
  <c r="F20" i="213" a="1"/>
  <c r="F25" i="207" a="1"/>
  <c r="F30" i="198" a="1"/>
  <c r="F30" i="208" a="1"/>
  <c r="F25" i="188" a="1"/>
  <c r="F25" i="176" a="1"/>
  <c r="F20" i="197" a="1"/>
  <c r="F30" i="191" a="1"/>
  <c r="F10" i="1" a="1"/>
  <c r="F30" i="203" a="1"/>
  <c r="F25" i="205" a="1"/>
  <c r="F30" i="212" a="1"/>
  <c r="F20" i="177" a="1"/>
  <c r="F30" i="204" a="1"/>
  <c r="F30" i="206" a="1"/>
  <c r="F20" i="217" a="1"/>
  <c r="F25" i="193" a="1"/>
  <c r="F25" i="189" a="1"/>
  <c r="F15" i="177" a="1"/>
  <c r="F25" i="180" a="1"/>
  <c r="F25" i="184" a="1"/>
  <c r="F30" i="200" a="1"/>
  <c r="F15" i="177" l="1"/>
  <c r="F20" i="217"/>
  <c r="F20" i="177"/>
  <c r="F20" i="197"/>
  <c r="F20" i="213"/>
  <c r="F20" i="175"/>
  <c r="F20" i="202"/>
  <c r="F20" i="196"/>
  <c r="F20" i="210"/>
  <c r="F30" i="171"/>
  <c r="F20" i="195"/>
  <c r="F20" i="219"/>
  <c r="F20" i="215"/>
  <c r="B30" i="219"/>
  <c r="D25" i="219"/>
  <c r="C25" i="219"/>
  <c r="B30" i="217"/>
  <c r="D25" i="217"/>
  <c r="C25" i="217"/>
  <c r="B30" i="215"/>
  <c r="D25" i="215"/>
  <c r="C25" i="215"/>
  <c r="B30" i="213"/>
  <c r="D25" i="213"/>
  <c r="C25" i="213"/>
  <c r="B30" i="210"/>
  <c r="D25" i="210"/>
  <c r="C25" i="210"/>
  <c r="B30" i="202"/>
  <c r="D25" i="202"/>
  <c r="C25" i="202"/>
  <c r="D25" i="197"/>
  <c r="C25" i="197"/>
  <c r="B30" i="197"/>
  <c r="B30" i="196"/>
  <c r="D25" i="196"/>
  <c r="C25" i="196"/>
  <c r="B30" i="195"/>
  <c r="D25" i="195"/>
  <c r="C25" i="195"/>
  <c r="B30" i="177"/>
  <c r="D25" i="177"/>
  <c r="C25" i="177"/>
  <c r="B30" i="175"/>
  <c r="D25" i="175"/>
  <c r="C25" i="175"/>
  <c r="F25" i="220"/>
  <c r="D30" i="220"/>
  <c r="C30" i="220"/>
  <c r="B35" i="220"/>
  <c r="F30" i="218"/>
  <c r="B40" i="218"/>
  <c r="D35" i="218"/>
  <c r="C35" i="218"/>
  <c r="F30" i="216"/>
  <c r="B40" i="216"/>
  <c r="D35" i="216"/>
  <c r="C35" i="216"/>
  <c r="F25" i="214"/>
  <c r="D30" i="214"/>
  <c r="C30" i="214"/>
  <c r="B35" i="214"/>
  <c r="F30" i="212"/>
  <c r="B40" i="212"/>
  <c r="D35" i="212"/>
  <c r="C35" i="212"/>
  <c r="F25" i="211"/>
  <c r="D30" i="211"/>
  <c r="C30" i="211"/>
  <c r="B35" i="211"/>
  <c r="F25" i="209"/>
  <c r="D30" i="209"/>
  <c r="C30" i="209"/>
  <c r="B35" i="209"/>
  <c r="F30" i="208"/>
  <c r="B40" i="208"/>
  <c r="D35" i="208"/>
  <c r="C35" i="208"/>
  <c r="F25" i="207"/>
  <c r="D30" i="207"/>
  <c r="C30" i="207"/>
  <c r="B35" i="207"/>
  <c r="F30" i="206"/>
  <c r="B40" i="206"/>
  <c r="D35" i="206"/>
  <c r="C35" i="206"/>
  <c r="F25" i="205"/>
  <c r="D30" i="205"/>
  <c r="C30" i="205"/>
  <c r="B35" i="205"/>
  <c r="F30" i="204"/>
  <c r="B40" i="204"/>
  <c r="D35" i="204"/>
  <c r="C35" i="204"/>
  <c r="F30" i="203"/>
  <c r="B40" i="203"/>
  <c r="D35" i="203"/>
  <c r="C35" i="203"/>
  <c r="F30" i="201"/>
  <c r="B40" i="201"/>
  <c r="D35" i="201"/>
  <c r="C35" i="201"/>
  <c r="F30" i="200"/>
  <c r="B40" i="200"/>
  <c r="D35" i="200"/>
  <c r="C35" i="200"/>
  <c r="F30" i="199"/>
  <c r="B40" i="199"/>
  <c r="D35" i="199"/>
  <c r="C35" i="199"/>
  <c r="F30" i="198"/>
  <c r="B40" i="198"/>
  <c r="D35" i="198"/>
  <c r="C35" i="198"/>
  <c r="F30" i="194"/>
  <c r="B40" i="194"/>
  <c r="D35" i="194"/>
  <c r="C35" i="194"/>
  <c r="F25" i="193"/>
  <c r="D30" i="193"/>
  <c r="C30" i="193"/>
  <c r="B35" i="193"/>
  <c r="F25" i="192"/>
  <c r="D30" i="192"/>
  <c r="C30" i="192"/>
  <c r="B35" i="192"/>
  <c r="F30" i="191"/>
  <c r="B40" i="191"/>
  <c r="D35" i="191"/>
  <c r="C35" i="191"/>
  <c r="F30" i="190"/>
  <c r="B40" i="190"/>
  <c r="D35" i="190"/>
  <c r="C35" i="190"/>
  <c r="F25" i="189"/>
  <c r="B35" i="189"/>
  <c r="D30" i="189"/>
  <c r="C30" i="189"/>
  <c r="F25" i="188"/>
  <c r="D30" i="188"/>
  <c r="C30" i="188"/>
  <c r="B35" i="188"/>
  <c r="F25" i="187"/>
  <c r="D30" i="187"/>
  <c r="C30" i="187"/>
  <c r="B35" i="187"/>
  <c r="F30" i="186"/>
  <c r="B40" i="186"/>
  <c r="D35" i="186"/>
  <c r="C35" i="186"/>
  <c r="F25" i="185"/>
  <c r="D30" i="185"/>
  <c r="C30" i="185"/>
  <c r="B35" i="185"/>
  <c r="F25" i="184"/>
  <c r="D30" i="184"/>
  <c r="C30" i="184"/>
  <c r="B35" i="184"/>
  <c r="F30" i="183"/>
  <c r="B40" i="183"/>
  <c r="D35" i="183"/>
  <c r="C35" i="183"/>
  <c r="F30" i="182"/>
  <c r="B40" i="182"/>
  <c r="D35" i="182"/>
  <c r="C35" i="182"/>
  <c r="F25" i="181"/>
  <c r="D30" i="181"/>
  <c r="B35" i="181"/>
  <c r="C30" i="181"/>
  <c r="F25" i="180"/>
  <c r="D30" i="180"/>
  <c r="C30" i="180"/>
  <c r="B35" i="180"/>
  <c r="F30" i="179"/>
  <c r="B40" i="179"/>
  <c r="D35" i="179"/>
  <c r="C35" i="179"/>
  <c r="F30" i="178"/>
  <c r="B40" i="178"/>
  <c r="D35" i="178"/>
  <c r="C35" i="178"/>
  <c r="F25" i="176"/>
  <c r="D30" i="176"/>
  <c r="C30" i="176"/>
  <c r="B35" i="176"/>
  <c r="F30" i="174"/>
  <c r="C35" i="174"/>
  <c r="B40" i="174"/>
  <c r="D35" i="174"/>
  <c r="F30" i="173"/>
  <c r="B40" i="173"/>
  <c r="D35" i="173"/>
  <c r="C35" i="173"/>
  <c r="F30" i="172"/>
  <c r="B43" i="172"/>
  <c r="D38" i="172"/>
  <c r="C38" i="172"/>
  <c r="B42" i="171"/>
  <c r="D37" i="171"/>
  <c r="C37" i="171"/>
  <c r="D5" i="39"/>
  <c r="C6" i="39"/>
  <c r="B7" i="39"/>
  <c r="A8" i="39"/>
  <c r="F10" i="1"/>
  <c r="B20" i="1"/>
  <c r="C20" i="1" s="1"/>
  <c r="D15" i="1"/>
  <c r="B25" i="1"/>
  <c r="C25" i="1" s="1"/>
  <c r="D20" i="1"/>
  <c r="F25" i="213" a="1"/>
  <c r="F25" i="197" a="1"/>
  <c r="F35" i="182" a="1"/>
  <c r="F20" i="1" a="1"/>
  <c r="F35" i="179" a="1"/>
  <c r="F35" i="204" a="1"/>
  <c r="F35" i="178" a="1"/>
  <c r="F30" i="211" a="1"/>
  <c r="F30" i="187" a="1"/>
  <c r="F25" i="210" a="1"/>
  <c r="F38" i="172" a="1"/>
  <c r="F35" i="206" a="1"/>
  <c r="F35" i="186" a="1"/>
  <c r="F15" i="1" a="1"/>
  <c r="F35" i="216" a="1"/>
  <c r="F35" i="190" a="1"/>
  <c r="F30" i="214" a="1"/>
  <c r="F35" i="198" a="1"/>
  <c r="F30" i="192" a="1"/>
  <c r="F30" i="176" a="1"/>
  <c r="F35" i="199" a="1"/>
  <c r="F30" i="207" a="1"/>
  <c r="F35" i="194" a="1"/>
  <c r="F25" i="195" a="1"/>
  <c r="F30" i="188" a="1"/>
  <c r="F25" i="217" a="1"/>
  <c r="F25" i="177" a="1"/>
  <c r="F30" i="184" a="1"/>
  <c r="F30" i="180" a="1"/>
  <c r="F30" i="193" a="1"/>
  <c r="F35" i="208" a="1"/>
  <c r="F35" i="173" a="1"/>
  <c r="F25" i="219" a="1"/>
  <c r="F30" i="181" a="1"/>
  <c r="F25" i="196" a="1"/>
  <c r="F30" i="185" a="1"/>
  <c r="F30" i="209" a="1"/>
  <c r="F35" i="218" a="1"/>
  <c r="F35" i="201" a="1"/>
  <c r="F35" i="203" a="1"/>
  <c r="F25" i="215" a="1"/>
  <c r="F25" i="175" a="1"/>
  <c r="F35" i="174" a="1"/>
  <c r="F35" i="183" a="1"/>
  <c r="F35" i="191" a="1"/>
  <c r="F35" i="200" a="1"/>
  <c r="F30" i="205" a="1"/>
  <c r="F30" i="220" a="1"/>
  <c r="F25" i="202" a="1"/>
  <c r="F35" i="212" a="1"/>
  <c r="F30" i="189" a="1"/>
  <c r="F25" i="202" l="1"/>
  <c r="F25" i="175"/>
  <c r="F25" i="215"/>
  <c r="F25" i="196"/>
  <c r="F25" i="219"/>
  <c r="F25" i="177"/>
  <c r="F25" i="217"/>
  <c r="F25" i="195"/>
  <c r="F25" i="210"/>
  <c r="F25" i="197"/>
  <c r="F25" i="213"/>
  <c r="D30" i="219"/>
  <c r="C30" i="219"/>
  <c r="B35" i="219"/>
  <c r="D30" i="217"/>
  <c r="C30" i="217"/>
  <c r="B35" i="217"/>
  <c r="D30" i="215"/>
  <c r="C30" i="215"/>
  <c r="B35" i="215"/>
  <c r="D30" i="213"/>
  <c r="C30" i="213"/>
  <c r="B35" i="213"/>
  <c r="D30" i="210"/>
  <c r="C30" i="210"/>
  <c r="B35" i="210"/>
  <c r="D30" i="202"/>
  <c r="C30" i="202"/>
  <c r="B35" i="202"/>
  <c r="D30" i="197"/>
  <c r="C30" i="197"/>
  <c r="B35" i="197"/>
  <c r="D30" i="196"/>
  <c r="C30" i="196"/>
  <c r="B35" i="196"/>
  <c r="D30" i="195"/>
  <c r="C30" i="195"/>
  <c r="B35" i="195"/>
  <c r="D30" i="177"/>
  <c r="C30" i="177"/>
  <c r="B35" i="177"/>
  <c r="D30" i="175"/>
  <c r="C30" i="175"/>
  <c r="B35" i="175"/>
  <c r="F30" i="220"/>
  <c r="B40" i="220"/>
  <c r="D35" i="220"/>
  <c r="C35" i="220"/>
  <c r="F35" i="218"/>
  <c r="B45" i="218"/>
  <c r="D40" i="218"/>
  <c r="C40" i="218"/>
  <c r="F35" i="216"/>
  <c r="B45" i="216"/>
  <c r="D40" i="216"/>
  <c r="C40" i="216"/>
  <c r="F30" i="214"/>
  <c r="B40" i="214"/>
  <c r="D35" i="214"/>
  <c r="C35" i="214"/>
  <c r="F35" i="212"/>
  <c r="B45" i="212"/>
  <c r="D40" i="212"/>
  <c r="C40" i="212"/>
  <c r="F30" i="211"/>
  <c r="B40" i="211"/>
  <c r="D35" i="211"/>
  <c r="C35" i="211"/>
  <c r="F30" i="209"/>
  <c r="B40" i="209"/>
  <c r="D35" i="209"/>
  <c r="C35" i="209"/>
  <c r="F35" i="208"/>
  <c r="B45" i="208"/>
  <c r="D40" i="208"/>
  <c r="C40" i="208"/>
  <c r="F30" i="207"/>
  <c r="B40" i="207"/>
  <c r="D35" i="207"/>
  <c r="C35" i="207"/>
  <c r="F35" i="206"/>
  <c r="B45" i="206"/>
  <c r="D40" i="206"/>
  <c r="C40" i="206"/>
  <c r="F30" i="205"/>
  <c r="B40" i="205"/>
  <c r="D35" i="205"/>
  <c r="C35" i="205"/>
  <c r="F35" i="204"/>
  <c r="B45" i="204"/>
  <c r="D40" i="204"/>
  <c r="C40" i="204"/>
  <c r="F35" i="203"/>
  <c r="B45" i="203"/>
  <c r="D40" i="203"/>
  <c r="C40" i="203"/>
  <c r="F35" i="201"/>
  <c r="B45" i="201"/>
  <c r="D40" i="201"/>
  <c r="C40" i="201"/>
  <c r="F35" i="200"/>
  <c r="B45" i="200"/>
  <c r="D40" i="200"/>
  <c r="C40" i="200"/>
  <c r="F35" i="199"/>
  <c r="B45" i="199"/>
  <c r="D40" i="199"/>
  <c r="C40" i="199"/>
  <c r="F35" i="198"/>
  <c r="B45" i="198"/>
  <c r="D40" i="198"/>
  <c r="C40" i="198"/>
  <c r="F35" i="194"/>
  <c r="B45" i="194"/>
  <c r="D40" i="194"/>
  <c r="C40" i="194"/>
  <c r="F30" i="193"/>
  <c r="B40" i="193"/>
  <c r="D35" i="193"/>
  <c r="C35" i="193"/>
  <c r="F30" i="192"/>
  <c r="B40" i="192"/>
  <c r="D35" i="192"/>
  <c r="C35" i="192"/>
  <c r="F35" i="191"/>
  <c r="B45" i="191"/>
  <c r="D40" i="191"/>
  <c r="C40" i="191"/>
  <c r="F35" i="190"/>
  <c r="B45" i="190"/>
  <c r="D40" i="190"/>
  <c r="C40" i="190"/>
  <c r="F30" i="189"/>
  <c r="C35" i="189"/>
  <c r="B40" i="189"/>
  <c r="D35" i="189"/>
  <c r="F30" i="188"/>
  <c r="B40" i="188"/>
  <c r="C35" i="188"/>
  <c r="D35" i="188"/>
  <c r="F30" i="187"/>
  <c r="B40" i="187"/>
  <c r="D35" i="187"/>
  <c r="C35" i="187"/>
  <c r="F35" i="186"/>
  <c r="B45" i="186"/>
  <c r="D40" i="186"/>
  <c r="C40" i="186"/>
  <c r="F30" i="185"/>
  <c r="D35" i="185"/>
  <c r="B40" i="185"/>
  <c r="C35" i="185"/>
  <c r="F30" i="184"/>
  <c r="B40" i="184"/>
  <c r="D35" i="184"/>
  <c r="C35" i="184"/>
  <c r="F35" i="183"/>
  <c r="B45" i="183"/>
  <c r="D40" i="183"/>
  <c r="C40" i="183"/>
  <c r="F35" i="182"/>
  <c r="B45" i="182"/>
  <c r="D40" i="182"/>
  <c r="C40" i="182"/>
  <c r="F30" i="181"/>
  <c r="B40" i="181"/>
  <c r="D35" i="181"/>
  <c r="C35" i="181"/>
  <c r="F30" i="180"/>
  <c r="B40" i="180"/>
  <c r="D35" i="180"/>
  <c r="C35" i="180"/>
  <c r="F35" i="179"/>
  <c r="B45" i="179"/>
  <c r="D40" i="179"/>
  <c r="C40" i="179"/>
  <c r="F35" i="178"/>
  <c r="B45" i="178"/>
  <c r="D40" i="178"/>
  <c r="C40" i="178"/>
  <c r="F30" i="176"/>
  <c r="B40" i="176"/>
  <c r="C35" i="176"/>
  <c r="D35" i="176"/>
  <c r="F35" i="174"/>
  <c r="B45" i="174"/>
  <c r="D40" i="174"/>
  <c r="C40" i="174"/>
  <c r="F35" i="173"/>
  <c r="B45" i="173"/>
  <c r="D40" i="173"/>
  <c r="C40" i="173"/>
  <c r="F38" i="172"/>
  <c r="B48" i="172"/>
  <c r="D43" i="172"/>
  <c r="C43" i="172"/>
  <c r="B47" i="171"/>
  <c r="D42" i="171"/>
  <c r="C42" i="171"/>
  <c r="E5" i="39"/>
  <c r="L5" i="39" s="1"/>
  <c r="C7" i="39"/>
  <c r="D6" i="39"/>
  <c r="A9" i="39"/>
  <c r="K9" i="39" s="1"/>
  <c r="J9" i="39" s="1"/>
  <c r="B8" i="39"/>
  <c r="J8" i="39" s="1"/>
  <c r="F20" i="1"/>
  <c r="F15" i="1"/>
  <c r="D25" i="1"/>
  <c r="B30" i="1"/>
  <c r="C30" i="1" s="1"/>
  <c r="F30" i="210" a="1"/>
  <c r="F40" i="206" a="1"/>
  <c r="F30" i="196" a="1"/>
  <c r="F35" i="188" a="1"/>
  <c r="F40" i="200" a="1"/>
  <c r="F35" i="180" a="1"/>
  <c r="F40" i="218" a="1"/>
  <c r="F25" i="1" a="1"/>
  <c r="F30" i="219" a="1"/>
  <c r="F35" i="214" a="1"/>
  <c r="F35" i="181" a="1"/>
  <c r="F35" i="220" a="1"/>
  <c r="F40" i="182" a="1"/>
  <c r="F35" i="193" a="1"/>
  <c r="F30" i="215" a="1"/>
  <c r="F30" i="175" a="1"/>
  <c r="F40" i="190" a="1"/>
  <c r="F35" i="211" a="1"/>
  <c r="F35" i="184" a="1"/>
  <c r="F35" i="205" a="1"/>
  <c r="F35" i="207" a="1"/>
  <c r="F30" i="195" a="1"/>
  <c r="F40" i="173" a="1"/>
  <c r="F30" i="202" a="1"/>
  <c r="F40" i="203" a="1"/>
  <c r="F40" i="208" a="1"/>
  <c r="F40" i="201" a="1"/>
  <c r="F35" i="192" a="1"/>
  <c r="F40" i="216" a="1"/>
  <c r="F35" i="176" a="1"/>
  <c r="F40" i="178" a="1"/>
  <c r="F30" i="213" a="1"/>
  <c r="F40" i="179" a="1"/>
  <c r="F40" i="186" a="1"/>
  <c r="F40" i="204" a="1"/>
  <c r="F40" i="212" a="1"/>
  <c r="F42" i="171" a="1"/>
  <c r="F30" i="177" a="1"/>
  <c r="F40" i="194" a="1"/>
  <c r="F43" i="172" a="1"/>
  <c r="F30" i="197" a="1"/>
  <c r="F40" i="174" a="1"/>
  <c r="F40" i="191" a="1"/>
  <c r="F40" i="198" a="1"/>
  <c r="F40" i="183" a="1"/>
  <c r="F35" i="209" a="1"/>
  <c r="F30" i="217" a="1"/>
  <c r="F35" i="187" a="1"/>
  <c r="F35" i="189" a="1"/>
  <c r="F35" i="185" a="1"/>
  <c r="F40" i="199" a="1"/>
  <c r="F30" i="217" l="1"/>
  <c r="F30" i="197"/>
  <c r="F30" i="177"/>
  <c r="F30" i="213"/>
  <c r="F30" i="202"/>
  <c r="F30" i="195"/>
  <c r="F30" i="175"/>
  <c r="F30" i="215"/>
  <c r="F30" i="219"/>
  <c r="F30" i="196"/>
  <c r="F30" i="210"/>
  <c r="B40" i="219"/>
  <c r="D35" i="219"/>
  <c r="C35" i="219"/>
  <c r="B40" i="217"/>
  <c r="D35" i="217"/>
  <c r="C35" i="217"/>
  <c r="B40" i="215"/>
  <c r="D35" i="215"/>
  <c r="C35" i="215"/>
  <c r="B40" i="213"/>
  <c r="D35" i="213"/>
  <c r="C35" i="213"/>
  <c r="B40" i="210"/>
  <c r="D35" i="210"/>
  <c r="C35" i="210"/>
  <c r="B40" i="202"/>
  <c r="D35" i="202"/>
  <c r="C35" i="202"/>
  <c r="B40" i="197"/>
  <c r="D35" i="197"/>
  <c r="C35" i="197"/>
  <c r="B40" i="196"/>
  <c r="D35" i="196"/>
  <c r="C35" i="196"/>
  <c r="B40" i="195"/>
  <c r="D35" i="195"/>
  <c r="C35" i="195"/>
  <c r="B40" i="177"/>
  <c r="D35" i="177"/>
  <c r="C35" i="177"/>
  <c r="B40" i="175"/>
  <c r="D35" i="175"/>
  <c r="C35" i="175"/>
  <c r="F35" i="220"/>
  <c r="B45" i="220"/>
  <c r="D40" i="220"/>
  <c r="C40" i="220"/>
  <c r="F40" i="218"/>
  <c r="C45" i="218"/>
  <c r="B50" i="218"/>
  <c r="D45" i="218"/>
  <c r="F40" i="216"/>
  <c r="C45" i="216"/>
  <c r="D45" i="216"/>
  <c r="B50" i="216"/>
  <c r="F35" i="214"/>
  <c r="B45" i="214"/>
  <c r="D40" i="214"/>
  <c r="C40" i="214"/>
  <c r="F40" i="212"/>
  <c r="C45" i="212"/>
  <c r="B50" i="212"/>
  <c r="D45" i="212"/>
  <c r="F35" i="211"/>
  <c r="B45" i="211"/>
  <c r="D40" i="211"/>
  <c r="C40" i="211"/>
  <c r="F35" i="209"/>
  <c r="B45" i="209"/>
  <c r="D40" i="209"/>
  <c r="C40" i="209"/>
  <c r="F40" i="208"/>
  <c r="C45" i="208"/>
  <c r="B50" i="208"/>
  <c r="D45" i="208"/>
  <c r="F35" i="207"/>
  <c r="B45" i="207"/>
  <c r="D40" i="207"/>
  <c r="C40" i="207"/>
  <c r="F40" i="206"/>
  <c r="C45" i="206"/>
  <c r="B50" i="206"/>
  <c r="D45" i="206"/>
  <c r="F35" i="205"/>
  <c r="B45" i="205"/>
  <c r="D40" i="205"/>
  <c r="C40" i="205"/>
  <c r="F40" i="204"/>
  <c r="C45" i="204"/>
  <c r="B50" i="204"/>
  <c r="D45" i="204"/>
  <c r="F40" i="203"/>
  <c r="C45" i="203"/>
  <c r="D45" i="203"/>
  <c r="B50" i="203"/>
  <c r="F40" i="201"/>
  <c r="C45" i="201"/>
  <c r="B50" i="201"/>
  <c r="D45" i="201"/>
  <c r="F40" i="200"/>
  <c r="C45" i="200"/>
  <c r="B50" i="200"/>
  <c r="D45" i="200"/>
  <c r="F40" i="199"/>
  <c r="C45" i="199"/>
  <c r="B50" i="199"/>
  <c r="D45" i="199"/>
  <c r="F40" i="198"/>
  <c r="C45" i="198"/>
  <c r="B50" i="198"/>
  <c r="D45" i="198"/>
  <c r="F40" i="194"/>
  <c r="C45" i="194"/>
  <c r="B50" i="194"/>
  <c r="D45" i="194"/>
  <c r="F35" i="193"/>
  <c r="B45" i="193"/>
  <c r="D40" i="193"/>
  <c r="C40" i="193"/>
  <c r="F35" i="192"/>
  <c r="B45" i="192"/>
  <c r="D40" i="192"/>
  <c r="C40" i="192"/>
  <c r="F40" i="191"/>
  <c r="C45" i="191"/>
  <c r="B50" i="191"/>
  <c r="D45" i="191"/>
  <c r="F40" i="190"/>
  <c r="C45" i="190"/>
  <c r="D45" i="190"/>
  <c r="B50" i="190"/>
  <c r="F35" i="189"/>
  <c r="B45" i="189"/>
  <c r="D40" i="189"/>
  <c r="C40" i="189"/>
  <c r="F35" i="188"/>
  <c r="B45" i="188"/>
  <c r="D40" i="188"/>
  <c r="C40" i="188"/>
  <c r="F35" i="187"/>
  <c r="B45" i="187"/>
  <c r="D40" i="187"/>
  <c r="C40" i="187"/>
  <c r="F40" i="186"/>
  <c r="C45" i="186"/>
  <c r="B50" i="186"/>
  <c r="D45" i="186"/>
  <c r="F35" i="185"/>
  <c r="B45" i="185"/>
  <c r="D40" i="185"/>
  <c r="C40" i="185"/>
  <c r="F35" i="184"/>
  <c r="B45" i="184"/>
  <c r="D40" i="184"/>
  <c r="C40" i="184"/>
  <c r="F40" i="183"/>
  <c r="C45" i="183"/>
  <c r="D45" i="183"/>
  <c r="B50" i="183"/>
  <c r="F40" i="182"/>
  <c r="C45" i="182"/>
  <c r="B50" i="182"/>
  <c r="D45" i="182"/>
  <c r="F35" i="181"/>
  <c r="B45" i="181"/>
  <c r="D40" i="181"/>
  <c r="C40" i="181"/>
  <c r="F35" i="180"/>
  <c r="B45" i="180"/>
  <c r="D40" i="180"/>
  <c r="C40" i="180"/>
  <c r="F40" i="179"/>
  <c r="C45" i="179"/>
  <c r="B50" i="179"/>
  <c r="D45" i="179"/>
  <c r="F40" i="178"/>
  <c r="C45" i="178"/>
  <c r="D45" i="178"/>
  <c r="B50" i="178"/>
  <c r="F35" i="176"/>
  <c r="B45" i="176"/>
  <c r="D40" i="176"/>
  <c r="C40" i="176"/>
  <c r="F40" i="174"/>
  <c r="C45" i="174"/>
  <c r="D45" i="174"/>
  <c r="B50" i="174"/>
  <c r="F40" i="173"/>
  <c r="C45" i="173"/>
  <c r="B50" i="173"/>
  <c r="D45" i="173"/>
  <c r="F43" i="172"/>
  <c r="C48" i="172"/>
  <c r="D48" i="172"/>
  <c r="B53" i="172"/>
  <c r="F42" i="171"/>
  <c r="C47" i="171"/>
  <c r="B52" i="171"/>
  <c r="D47" i="171"/>
  <c r="I9" i="39"/>
  <c r="I21" i="39"/>
  <c r="I33" i="39"/>
  <c r="I45" i="39"/>
  <c r="I52" i="39"/>
  <c r="I53" i="39"/>
  <c r="I10" i="39"/>
  <c r="I22" i="39"/>
  <c r="I34" i="39"/>
  <c r="I46" i="39"/>
  <c r="I16" i="39"/>
  <c r="I11" i="39"/>
  <c r="I23" i="39"/>
  <c r="I35" i="39"/>
  <c r="I47" i="39"/>
  <c r="I30" i="39"/>
  <c r="I12" i="39"/>
  <c r="I24" i="39"/>
  <c r="I36" i="39"/>
  <c r="I48" i="39"/>
  <c r="I28" i="39"/>
  <c r="I29" i="39"/>
  <c r="I13" i="39"/>
  <c r="I25" i="39"/>
  <c r="I37" i="39"/>
  <c r="I49" i="39"/>
  <c r="I40" i="39"/>
  <c r="I17" i="39"/>
  <c r="I14" i="39"/>
  <c r="I26" i="39"/>
  <c r="I38" i="39"/>
  <c r="I50" i="39"/>
  <c r="I15" i="39"/>
  <c r="I27" i="39"/>
  <c r="I39" i="39"/>
  <c r="I51" i="39"/>
  <c r="I41" i="39"/>
  <c r="I18" i="39"/>
  <c r="I54" i="39"/>
  <c r="I19" i="39"/>
  <c r="I31" i="39"/>
  <c r="I43" i="39"/>
  <c r="I8" i="39"/>
  <c r="I20" i="39"/>
  <c r="I32" i="39"/>
  <c r="I44" i="39"/>
  <c r="C8" i="39"/>
  <c r="F5" i="39"/>
  <c r="G5" i="39" s="1"/>
  <c r="E6" i="39"/>
  <c r="L6" i="39" s="1"/>
  <c r="D7" i="39"/>
  <c r="A10" i="39"/>
  <c r="K10" i="39" s="1"/>
  <c r="J10" i="39" s="1"/>
  <c r="B9" i="39"/>
  <c r="F25" i="1"/>
  <c r="B35" i="1"/>
  <c r="C35" i="1" s="1"/>
  <c r="D30" i="1"/>
  <c r="F35" i="217" a="1"/>
  <c r="F35" i="177" a="1"/>
  <c r="F40" i="220" a="1"/>
  <c r="F45" i="183" a="1"/>
  <c r="F40" i="187" a="1"/>
  <c r="F45" i="216" a="1"/>
  <c r="F40" i="192" a="1"/>
  <c r="F35" i="210" a="1"/>
  <c r="F45" i="208" a="1"/>
  <c r="F35" i="196" a="1"/>
  <c r="F45" i="203" a="1"/>
  <c r="F45" i="198" a="1"/>
  <c r="F40" i="189" a="1"/>
  <c r="F40" i="205" a="1"/>
  <c r="F45" i="200" a="1"/>
  <c r="F35" i="215" a="1"/>
  <c r="F35" i="175" a="1"/>
  <c r="F48" i="172" a="1"/>
  <c r="F40" i="211" a="1"/>
  <c r="F40" i="180" a="1"/>
  <c r="F45" i="182" a="1"/>
  <c r="F30" i="1" a="1"/>
  <c r="F40" i="188" a="1"/>
  <c r="F47" i="171" a="1"/>
  <c r="F35" i="202" a="1"/>
  <c r="F45" i="194" a="1"/>
  <c r="F45" i="199" a="1"/>
  <c r="F45" i="179" a="1"/>
  <c r="F45" i="173" a="1"/>
  <c r="F40" i="185" a="1"/>
  <c r="F40" i="193" a="1"/>
  <c r="F45" i="204" a="1"/>
  <c r="F35" i="219" a="1"/>
  <c r="F35" i="195" a="1"/>
  <c r="F45" i="201" a="1"/>
  <c r="F45" i="186" a="1"/>
  <c r="F45" i="178" a="1"/>
  <c r="F40" i="181" a="1"/>
  <c r="F40" i="214" a="1"/>
  <c r="F45" i="212" a="1"/>
  <c r="F40" i="176" a="1"/>
  <c r="F35" i="213" a="1"/>
  <c r="F40" i="207" a="1"/>
  <c r="F45" i="190" a="1"/>
  <c r="F45" i="218" a="1"/>
  <c r="F45" i="191" a="1"/>
  <c r="F35" i="197" a="1"/>
  <c r="F45" i="206" a="1"/>
  <c r="F40" i="184" a="1"/>
  <c r="F40" i="209" a="1"/>
  <c r="F35" i="197" l="1"/>
  <c r="F35" i="213"/>
  <c r="F35" i="195"/>
  <c r="F35" i="219"/>
  <c r="F35" i="202"/>
  <c r="F35" i="175"/>
  <c r="F35" i="215"/>
  <c r="F35" i="196"/>
  <c r="F35" i="210"/>
  <c r="F35" i="177"/>
  <c r="F35" i="217"/>
  <c r="B45" i="219"/>
  <c r="D40" i="219"/>
  <c r="C40" i="219"/>
  <c r="B45" i="217"/>
  <c r="D40" i="217"/>
  <c r="C40" i="217"/>
  <c r="B45" i="215"/>
  <c r="D40" i="215"/>
  <c r="C40" i="215"/>
  <c r="B45" i="213"/>
  <c r="D40" i="213"/>
  <c r="C40" i="213"/>
  <c r="B45" i="210"/>
  <c r="D40" i="210"/>
  <c r="C40" i="210"/>
  <c r="B45" i="202"/>
  <c r="D40" i="202"/>
  <c r="C40" i="202"/>
  <c r="B45" i="197"/>
  <c r="D40" i="197"/>
  <c r="C40" i="197"/>
  <c r="B45" i="196"/>
  <c r="D40" i="196"/>
  <c r="C40" i="196"/>
  <c r="B45" i="195"/>
  <c r="D40" i="195"/>
  <c r="C40" i="195"/>
  <c r="D40" i="177"/>
  <c r="C40" i="177"/>
  <c r="B45" i="177"/>
  <c r="B45" i="175"/>
  <c r="D40" i="175"/>
  <c r="C40" i="175"/>
  <c r="F40" i="220"/>
  <c r="C45" i="220"/>
  <c r="B50" i="220"/>
  <c r="D45" i="220"/>
  <c r="F45" i="218"/>
  <c r="B55" i="218"/>
  <c r="D50" i="218"/>
  <c r="C50" i="218"/>
  <c r="F45" i="216"/>
  <c r="B55" i="216"/>
  <c r="D50" i="216"/>
  <c r="C50" i="216"/>
  <c r="F40" i="214"/>
  <c r="C45" i="214"/>
  <c r="D45" i="214"/>
  <c r="B50" i="214"/>
  <c r="F45" i="212"/>
  <c r="B55" i="212"/>
  <c r="D50" i="212"/>
  <c r="C50" i="212"/>
  <c r="F40" i="211"/>
  <c r="C45" i="211"/>
  <c r="B50" i="211"/>
  <c r="D45" i="211"/>
  <c r="F40" i="209"/>
  <c r="C45" i="209"/>
  <c r="B50" i="209"/>
  <c r="D45" i="209"/>
  <c r="F45" i="208"/>
  <c r="B55" i="208"/>
  <c r="D50" i="208"/>
  <c r="C50" i="208"/>
  <c r="F40" i="207"/>
  <c r="C45" i="207"/>
  <c r="B50" i="207"/>
  <c r="D45" i="207"/>
  <c r="F45" i="206"/>
  <c r="B55" i="206"/>
  <c r="D50" i="206"/>
  <c r="C50" i="206"/>
  <c r="F40" i="205"/>
  <c r="C45" i="205"/>
  <c r="D45" i="205"/>
  <c r="B50" i="205"/>
  <c r="F45" i="204"/>
  <c r="B55" i="204"/>
  <c r="D50" i="204"/>
  <c r="C50" i="204"/>
  <c r="F45" i="203"/>
  <c r="B55" i="203"/>
  <c r="D50" i="203"/>
  <c r="C50" i="203"/>
  <c r="F45" i="201"/>
  <c r="B55" i="201"/>
  <c r="D50" i="201"/>
  <c r="C50" i="201"/>
  <c r="F45" i="200"/>
  <c r="B55" i="200"/>
  <c r="D50" i="200"/>
  <c r="C50" i="200"/>
  <c r="F45" i="199"/>
  <c r="B55" i="199"/>
  <c r="D50" i="199"/>
  <c r="C50" i="199"/>
  <c r="F45" i="198"/>
  <c r="B55" i="198"/>
  <c r="D50" i="198"/>
  <c r="C50" i="198"/>
  <c r="F45" i="194"/>
  <c r="B55" i="194"/>
  <c r="D50" i="194"/>
  <c r="C50" i="194"/>
  <c r="F40" i="193"/>
  <c r="C45" i="193"/>
  <c r="B50" i="193"/>
  <c r="D45" i="193"/>
  <c r="F40" i="192"/>
  <c r="C45" i="192"/>
  <c r="B50" i="192"/>
  <c r="D45" i="192"/>
  <c r="F45" i="191"/>
  <c r="B55" i="191"/>
  <c r="D50" i="191"/>
  <c r="C50" i="191"/>
  <c r="F45" i="190"/>
  <c r="B55" i="190"/>
  <c r="D50" i="190"/>
  <c r="C50" i="190"/>
  <c r="F40" i="189"/>
  <c r="C45" i="189"/>
  <c r="D45" i="189"/>
  <c r="B50" i="189"/>
  <c r="F40" i="188"/>
  <c r="C45" i="188"/>
  <c r="D45" i="188"/>
  <c r="B50" i="188"/>
  <c r="F40" i="187"/>
  <c r="C45" i="187"/>
  <c r="B50" i="187"/>
  <c r="D45" i="187"/>
  <c r="F45" i="186"/>
  <c r="B55" i="186"/>
  <c r="D50" i="186"/>
  <c r="C50" i="186"/>
  <c r="F40" i="185"/>
  <c r="C45" i="185"/>
  <c r="B50" i="185"/>
  <c r="D45" i="185"/>
  <c r="F40" i="184"/>
  <c r="C45" i="184"/>
  <c r="B50" i="184"/>
  <c r="D45" i="184"/>
  <c r="F45" i="183"/>
  <c r="B55" i="183"/>
  <c r="D50" i="183"/>
  <c r="C50" i="183"/>
  <c r="F45" i="182"/>
  <c r="B55" i="182"/>
  <c r="D50" i="182"/>
  <c r="C50" i="182"/>
  <c r="F40" i="181"/>
  <c r="C45" i="181"/>
  <c r="B50" i="181"/>
  <c r="D45" i="181"/>
  <c r="F40" i="180"/>
  <c r="C45" i="180"/>
  <c r="B50" i="180"/>
  <c r="D45" i="180"/>
  <c r="F45" i="179"/>
  <c r="B55" i="179"/>
  <c r="D50" i="179"/>
  <c r="C50" i="179"/>
  <c r="F45" i="178"/>
  <c r="B55" i="178"/>
  <c r="D55" i="178" s="1"/>
  <c r="D50" i="178"/>
  <c r="C50" i="178"/>
  <c r="F40" i="176"/>
  <c r="C45" i="176"/>
  <c r="B50" i="176"/>
  <c r="D45" i="176"/>
  <c r="B55" i="174"/>
  <c r="D50" i="174"/>
  <c r="C50" i="174"/>
  <c r="F45" i="173"/>
  <c r="B55" i="173"/>
  <c r="D50" i="173"/>
  <c r="C50" i="173"/>
  <c r="F48" i="172"/>
  <c r="B58" i="172"/>
  <c r="D53" i="172"/>
  <c r="C53" i="172"/>
  <c r="F47" i="171"/>
  <c r="B57" i="171"/>
  <c r="D52" i="171"/>
  <c r="C52" i="171"/>
  <c r="G14" i="3"/>
  <c r="D22" i="3"/>
  <c r="E22" i="3" s="1"/>
  <c r="D10" i="3"/>
  <c r="E10" i="3" s="1"/>
  <c r="G25" i="3"/>
  <c r="G13" i="3"/>
  <c r="D21" i="3"/>
  <c r="E21" i="3" s="1"/>
  <c r="D9" i="3"/>
  <c r="E9" i="3" s="1"/>
  <c r="G18" i="3"/>
  <c r="G24" i="3"/>
  <c r="G12" i="3"/>
  <c r="D20" i="3"/>
  <c r="E20" i="3" s="1"/>
  <c r="D14" i="3"/>
  <c r="E14" i="3" s="1"/>
  <c r="G23" i="3"/>
  <c r="G11" i="3"/>
  <c r="D19" i="3"/>
  <c r="E19" i="3" s="1"/>
  <c r="G19" i="3"/>
  <c r="G22" i="3"/>
  <c r="G10" i="3"/>
  <c r="D18" i="3"/>
  <c r="E18" i="3" s="1"/>
  <c r="G17" i="3"/>
  <c r="G21" i="3"/>
  <c r="G9" i="3"/>
  <c r="D17" i="3"/>
  <c r="E17" i="3" s="1"/>
  <c r="G20" i="3"/>
  <c r="D16" i="3"/>
  <c r="E16" i="3" s="1"/>
  <c r="G16" i="3"/>
  <c r="D24" i="3"/>
  <c r="E24" i="3" s="1"/>
  <c r="D12" i="3"/>
  <c r="E12" i="3" s="1"/>
  <c r="G15" i="3"/>
  <c r="D23" i="3"/>
  <c r="E23" i="3" s="1"/>
  <c r="D11" i="3"/>
  <c r="E11" i="3" s="1"/>
  <c r="D15" i="3"/>
  <c r="E15" i="3" s="1"/>
  <c r="D25" i="3"/>
  <c r="E25" i="3" s="1"/>
  <c r="D13" i="3"/>
  <c r="E13" i="3" s="1"/>
  <c r="C9" i="39"/>
  <c r="D8" i="39"/>
  <c r="E7" i="39"/>
  <c r="F6" i="39"/>
  <c r="G6" i="39" s="1"/>
  <c r="A11" i="39"/>
  <c r="K11" i="39" s="1"/>
  <c r="J11" i="39" s="1"/>
  <c r="B10" i="39"/>
  <c r="F30" i="1"/>
  <c r="D35" i="1"/>
  <c r="B40" i="1"/>
  <c r="C40" i="1" s="1"/>
  <c r="F50" i="218" a="1"/>
  <c r="F40" i="217" a="1"/>
  <c r="F40" i="210" a="1"/>
  <c r="F50" i="201" a="1"/>
  <c r="F45" i="205" a="1"/>
  <c r="F50" i="203" a="1"/>
  <c r="F45" i="220" a="1"/>
  <c r="F45" i="181" a="1"/>
  <c r="F45" i="174" a="1"/>
  <c r="F40" i="196" a="1"/>
  <c r="F45" i="185" a="1"/>
  <c r="F45" i="187" a="1"/>
  <c r="F50" i="178" a="1"/>
  <c r="F45" i="184" a="1"/>
  <c r="F45" i="211" a="1"/>
  <c r="F45" i="176" a="1"/>
  <c r="F40" i="215" a="1"/>
  <c r="F40" i="175" a="1"/>
  <c r="F45" i="180" a="1"/>
  <c r="F52" i="171" a="1"/>
  <c r="F50" i="183" a="1"/>
  <c r="F50" i="208" a="1"/>
  <c r="F50" i="194" a="1"/>
  <c r="F45" i="193" a="1"/>
  <c r="F50" i="191" a="1"/>
  <c r="F50" i="186" a="1"/>
  <c r="F50" i="204" a="1"/>
  <c r="F50" i="206" a="1"/>
  <c r="F50" i="200" a="1"/>
  <c r="F45" i="209" a="1"/>
  <c r="F35" i="1" a="1"/>
  <c r="F50" i="216" a="1"/>
  <c r="F40" i="202" a="1"/>
  <c r="F50" i="212" a="1"/>
  <c r="F45" i="188" a="1"/>
  <c r="F50" i="190" a="1"/>
  <c r="F40" i="177" a="1"/>
  <c r="F50" i="198" a="1"/>
  <c r="F40" i="219" a="1"/>
  <c r="F40" i="195" a="1"/>
  <c r="F50" i="182" a="1"/>
  <c r="F45" i="207" a="1"/>
  <c r="F45" i="189" a="1"/>
  <c r="F50" i="173" a="1"/>
  <c r="F45" i="192" a="1"/>
  <c r="F40" i="213" a="1"/>
  <c r="F45" i="214" a="1"/>
  <c r="F50" i="179" a="1"/>
  <c r="F40" i="197" a="1"/>
  <c r="F53" i="172" a="1"/>
  <c r="F50" i="199" a="1"/>
  <c r="F50" i="174" a="1"/>
  <c r="F40" i="197" l="1"/>
  <c r="F40" i="213"/>
  <c r="F40" i="195"/>
  <c r="F40" i="219"/>
  <c r="F40" i="177"/>
  <c r="F40" i="202"/>
  <c r="F40" i="175"/>
  <c r="F40" i="215"/>
  <c r="F40" i="196"/>
  <c r="F45" i="174"/>
  <c r="F40" i="210"/>
  <c r="F40" i="217"/>
  <c r="C45" i="219"/>
  <c r="B50" i="219"/>
  <c r="D45" i="219"/>
  <c r="C45" i="217"/>
  <c r="B50" i="217"/>
  <c r="D45" i="217"/>
  <c r="C45" i="215"/>
  <c r="B50" i="215"/>
  <c r="D45" i="215"/>
  <c r="C45" i="213"/>
  <c r="B50" i="213"/>
  <c r="D45" i="213"/>
  <c r="C45" i="210"/>
  <c r="B50" i="210"/>
  <c r="D45" i="210"/>
  <c r="C45" i="202"/>
  <c r="B50" i="202"/>
  <c r="D45" i="202"/>
  <c r="C45" i="197"/>
  <c r="B50" i="197"/>
  <c r="D45" i="197"/>
  <c r="C45" i="196"/>
  <c r="B50" i="196"/>
  <c r="D45" i="196"/>
  <c r="C45" i="195"/>
  <c r="B50" i="195"/>
  <c r="D45" i="195"/>
  <c r="C45" i="177"/>
  <c r="B50" i="177"/>
  <c r="D45" i="177"/>
  <c r="C45" i="175"/>
  <c r="B50" i="175"/>
  <c r="D45" i="175"/>
  <c r="F45" i="220"/>
  <c r="B55" i="220"/>
  <c r="D50" i="220"/>
  <c r="C50" i="220"/>
  <c r="F50" i="218"/>
  <c r="D55" i="218"/>
  <c r="C55" i="218"/>
  <c r="B60" i="218"/>
  <c r="F50" i="216"/>
  <c r="D55" i="216"/>
  <c r="C55" i="216"/>
  <c r="B60" i="216"/>
  <c r="F45" i="214"/>
  <c r="B55" i="214"/>
  <c r="D50" i="214"/>
  <c r="C50" i="214"/>
  <c r="F50" i="212"/>
  <c r="D55" i="212"/>
  <c r="C55" i="212"/>
  <c r="B60" i="212"/>
  <c r="F45" i="211"/>
  <c r="B55" i="211"/>
  <c r="D50" i="211"/>
  <c r="C50" i="211"/>
  <c r="F45" i="209"/>
  <c r="B55" i="209"/>
  <c r="D50" i="209"/>
  <c r="C50" i="209"/>
  <c r="F50" i="208"/>
  <c r="D55" i="208"/>
  <c r="C55" i="208"/>
  <c r="B60" i="208"/>
  <c r="F45" i="207"/>
  <c r="B55" i="207"/>
  <c r="D50" i="207"/>
  <c r="C50" i="207"/>
  <c r="F50" i="206"/>
  <c r="D55" i="206"/>
  <c r="C55" i="206"/>
  <c r="B60" i="206"/>
  <c r="F45" i="205"/>
  <c r="B55" i="205"/>
  <c r="D50" i="205"/>
  <c r="C50" i="205"/>
  <c r="F50" i="204"/>
  <c r="D55" i="204"/>
  <c r="C55" i="204"/>
  <c r="B60" i="204"/>
  <c r="F50" i="203"/>
  <c r="D55" i="203"/>
  <c r="C55" i="203"/>
  <c r="B60" i="203"/>
  <c r="F50" i="201"/>
  <c r="D55" i="201"/>
  <c r="C55" i="201"/>
  <c r="B60" i="201"/>
  <c r="F50" i="200"/>
  <c r="D55" i="200"/>
  <c r="C55" i="200"/>
  <c r="B60" i="200"/>
  <c r="F50" i="199"/>
  <c r="D55" i="199"/>
  <c r="C55" i="199"/>
  <c r="B60" i="199"/>
  <c r="F50" i="198"/>
  <c r="D55" i="198"/>
  <c r="C55" i="198"/>
  <c r="B60" i="198"/>
  <c r="F50" i="194"/>
  <c r="D55" i="194"/>
  <c r="C55" i="194"/>
  <c r="B60" i="194"/>
  <c r="F45" i="193"/>
  <c r="B55" i="193"/>
  <c r="D50" i="193"/>
  <c r="C50" i="193"/>
  <c r="F45" i="192"/>
  <c r="B55" i="192"/>
  <c r="D50" i="192"/>
  <c r="C50" i="192"/>
  <c r="F50" i="191"/>
  <c r="D55" i="191"/>
  <c r="C55" i="191"/>
  <c r="B60" i="191"/>
  <c r="F50" i="190"/>
  <c r="D55" i="190"/>
  <c r="C55" i="190"/>
  <c r="B60" i="190"/>
  <c r="F45" i="189"/>
  <c r="B55" i="189"/>
  <c r="D50" i="189"/>
  <c r="C50" i="189"/>
  <c r="F45" i="188"/>
  <c r="B55" i="188"/>
  <c r="D50" i="188"/>
  <c r="C50" i="188"/>
  <c r="F45" i="187"/>
  <c r="B55" i="187"/>
  <c r="D50" i="187"/>
  <c r="C50" i="187"/>
  <c r="F50" i="186"/>
  <c r="D55" i="186"/>
  <c r="C55" i="186"/>
  <c r="B60" i="186"/>
  <c r="F45" i="185"/>
  <c r="B55" i="185"/>
  <c r="D50" i="185"/>
  <c r="C50" i="185"/>
  <c r="F45" i="184"/>
  <c r="B55" i="184"/>
  <c r="D50" i="184"/>
  <c r="C50" i="184"/>
  <c r="F50" i="183"/>
  <c r="D55" i="183"/>
  <c r="C55" i="183"/>
  <c r="B60" i="183"/>
  <c r="F50" i="182"/>
  <c r="D55" i="182"/>
  <c r="C55" i="182"/>
  <c r="B60" i="182"/>
  <c r="F45" i="181"/>
  <c r="B55" i="181"/>
  <c r="D50" i="181"/>
  <c r="C50" i="181"/>
  <c r="F45" i="180"/>
  <c r="B55" i="180"/>
  <c r="D50" i="180"/>
  <c r="C50" i="180"/>
  <c r="F50" i="179"/>
  <c r="D55" i="179"/>
  <c r="C55" i="179"/>
  <c r="B61" i="179"/>
  <c r="F50" i="178"/>
  <c r="C55" i="178"/>
  <c r="B61" i="178"/>
  <c r="F45" i="176"/>
  <c r="B55" i="176"/>
  <c r="D50" i="176"/>
  <c r="C50" i="176"/>
  <c r="F50" i="174"/>
  <c r="D55" i="174"/>
  <c r="C55" i="174"/>
  <c r="B61" i="174"/>
  <c r="F50" i="173"/>
  <c r="D55" i="173"/>
  <c r="C55" i="173"/>
  <c r="B61" i="173"/>
  <c r="F53" i="172"/>
  <c r="D58" i="172"/>
  <c r="C58" i="172"/>
  <c r="B64" i="172"/>
  <c r="F52" i="171"/>
  <c r="D57" i="171"/>
  <c r="C57" i="171"/>
  <c r="B63" i="171"/>
  <c r="H24" i="3"/>
  <c r="H17" i="3"/>
  <c r="H10" i="3"/>
  <c r="H22" i="3"/>
  <c r="H20" i="3"/>
  <c r="H9" i="3"/>
  <c r="H12" i="3"/>
  <c r="H21" i="3"/>
  <c r="H15" i="3"/>
  <c r="H13" i="3"/>
  <c r="H16" i="3"/>
  <c r="H11" i="3"/>
  <c r="H18" i="3"/>
  <c r="H19" i="3"/>
  <c r="H25" i="3"/>
  <c r="H23" i="3"/>
  <c r="H14" i="3"/>
  <c r="C10" i="39"/>
  <c r="F7" i="39"/>
  <c r="G7" i="39" s="1"/>
  <c r="D9" i="39"/>
  <c r="E8" i="39"/>
  <c r="L8" i="39" s="1"/>
  <c r="A12" i="39"/>
  <c r="K12" i="39" s="1"/>
  <c r="J12" i="39" s="1"/>
  <c r="B11" i="39"/>
  <c r="F35" i="1"/>
  <c r="B45" i="1"/>
  <c r="C45" i="1" s="1"/>
  <c r="D40" i="1"/>
  <c r="F55" i="186" a="1"/>
  <c r="F55" i="198" a="1"/>
  <c r="F55" i="190" a="1"/>
  <c r="F55" i="199" a="1"/>
  <c r="F55" i="178" a="1"/>
  <c r="F50" i="185" a="1"/>
  <c r="F50" i="211" a="1"/>
  <c r="F57" i="171" a="1"/>
  <c r="F55" i="218" a="1"/>
  <c r="F55" i="212" a="1"/>
  <c r="F50" i="176" a="1"/>
  <c r="F55" i="216" a="1"/>
  <c r="F50" i="189" a="1"/>
  <c r="F55" i="174" a="1"/>
  <c r="F55" i="200" a="1"/>
  <c r="F55" i="179" a="1"/>
  <c r="F55" i="182" a="1"/>
  <c r="F58" i="172" a="1"/>
  <c r="F50" i="193" a="1"/>
  <c r="F50" i="214" a="1"/>
  <c r="F55" i="183" a="1"/>
  <c r="F55" i="201" a="1"/>
  <c r="F55" i="204" a="1"/>
  <c r="F50" i="205" a="1"/>
  <c r="F50" i="220" a="1"/>
  <c r="F55" i="206" a="1"/>
  <c r="F50" i="207" a="1"/>
  <c r="F50" i="181" a="1"/>
  <c r="F55" i="173" a="1"/>
  <c r="F50" i="184" a="1"/>
  <c r="F50" i="187" a="1"/>
  <c r="F40" i="1" a="1"/>
  <c r="F55" i="208" a="1"/>
  <c r="F55" i="191" a="1"/>
  <c r="F50" i="192" a="1"/>
  <c r="F50" i="180" a="1"/>
  <c r="F50" i="188" a="1"/>
  <c r="F50" i="209" a="1"/>
  <c r="F55" i="203" a="1"/>
  <c r="F55" i="194" a="1"/>
  <c r="B55" i="219" l="1"/>
  <c r="D50" i="219"/>
  <c r="C50" i="219"/>
  <c r="B55" i="217"/>
  <c r="D50" i="217"/>
  <c r="C50" i="217"/>
  <c r="B55" i="215"/>
  <c r="D50" i="215"/>
  <c r="C50" i="215"/>
  <c r="B55" i="213"/>
  <c r="D50" i="213"/>
  <c r="C50" i="213"/>
  <c r="B55" i="210"/>
  <c r="D50" i="210"/>
  <c r="C50" i="210"/>
  <c r="B55" i="202"/>
  <c r="D50" i="202"/>
  <c r="C50" i="202"/>
  <c r="B55" i="197"/>
  <c r="D50" i="197"/>
  <c r="C50" i="197"/>
  <c r="B55" i="196"/>
  <c r="D50" i="196"/>
  <c r="C50" i="196"/>
  <c r="B55" i="195"/>
  <c r="D50" i="195"/>
  <c r="C50" i="195"/>
  <c r="B55" i="177"/>
  <c r="D50" i="177"/>
  <c r="C50" i="177"/>
  <c r="B55" i="175"/>
  <c r="D50" i="175"/>
  <c r="C50" i="175"/>
  <c r="F50" i="220"/>
  <c r="D55" i="220"/>
  <c r="C55" i="220"/>
  <c r="B60" i="220"/>
  <c r="F55" i="218"/>
  <c r="B65" i="218"/>
  <c r="D60" i="218"/>
  <c r="C60" i="218"/>
  <c r="F55" i="216"/>
  <c r="B65" i="216"/>
  <c r="D60" i="216"/>
  <c r="C60" i="216"/>
  <c r="F50" i="214"/>
  <c r="D55" i="214"/>
  <c r="C55" i="214"/>
  <c r="B60" i="214"/>
  <c r="F55" i="212"/>
  <c r="B65" i="212"/>
  <c r="D60" i="212"/>
  <c r="C60" i="212"/>
  <c r="F50" i="211"/>
  <c r="D55" i="211"/>
  <c r="C55" i="211"/>
  <c r="B60" i="211"/>
  <c r="F50" i="209"/>
  <c r="D55" i="209"/>
  <c r="C55" i="209"/>
  <c r="B60" i="209"/>
  <c r="F55" i="208"/>
  <c r="B65" i="208"/>
  <c r="D60" i="208"/>
  <c r="C60" i="208"/>
  <c r="F50" i="207"/>
  <c r="D55" i="207"/>
  <c r="C55" i="207"/>
  <c r="B60" i="207"/>
  <c r="F55" i="206"/>
  <c r="B65" i="206"/>
  <c r="D60" i="206"/>
  <c r="C60" i="206"/>
  <c r="F50" i="205"/>
  <c r="D55" i="205"/>
  <c r="C55" i="205"/>
  <c r="B60" i="205"/>
  <c r="F55" i="204"/>
  <c r="B65" i="204"/>
  <c r="D60" i="204"/>
  <c r="C60" i="204"/>
  <c r="F55" i="203"/>
  <c r="B65" i="203"/>
  <c r="D60" i="203"/>
  <c r="C60" i="203"/>
  <c r="F55" i="201"/>
  <c r="B65" i="201"/>
  <c r="D60" i="201"/>
  <c r="C60" i="201"/>
  <c r="F55" i="200"/>
  <c r="B65" i="200"/>
  <c r="D60" i="200"/>
  <c r="C60" i="200"/>
  <c r="F55" i="199"/>
  <c r="B65" i="199"/>
  <c r="D60" i="199"/>
  <c r="C60" i="199"/>
  <c r="F55" i="198"/>
  <c r="B65" i="198"/>
  <c r="D60" i="198"/>
  <c r="C60" i="198"/>
  <c r="F55" i="194"/>
  <c r="B65" i="194"/>
  <c r="D60" i="194"/>
  <c r="C60" i="194"/>
  <c r="F50" i="193"/>
  <c r="D55" i="193"/>
  <c r="C55" i="193"/>
  <c r="B60" i="193"/>
  <c r="F50" i="192"/>
  <c r="D55" i="192"/>
  <c r="C55" i="192"/>
  <c r="B60" i="192"/>
  <c r="F55" i="191"/>
  <c r="B65" i="191"/>
  <c r="D60" i="191"/>
  <c r="C60" i="191"/>
  <c r="F55" i="190"/>
  <c r="B65" i="190"/>
  <c r="D60" i="190"/>
  <c r="C60" i="190"/>
  <c r="F50" i="189"/>
  <c r="B60" i="189"/>
  <c r="D55" i="189"/>
  <c r="C55" i="189"/>
  <c r="F50" i="188"/>
  <c r="D55" i="188"/>
  <c r="C55" i="188"/>
  <c r="B60" i="188"/>
  <c r="F50" i="187"/>
  <c r="D55" i="187"/>
  <c r="C55" i="187"/>
  <c r="B60" i="187"/>
  <c r="F55" i="186"/>
  <c r="B65" i="186"/>
  <c r="D60" i="186"/>
  <c r="C60" i="186"/>
  <c r="F50" i="185"/>
  <c r="D55" i="185"/>
  <c r="C55" i="185"/>
  <c r="B60" i="185"/>
  <c r="F50" i="184"/>
  <c r="D55" i="184"/>
  <c r="C55" i="184"/>
  <c r="B60" i="184"/>
  <c r="F55" i="183"/>
  <c r="B65" i="183"/>
  <c r="D60" i="183"/>
  <c r="C60" i="183"/>
  <c r="F55" i="182"/>
  <c r="B65" i="182"/>
  <c r="D60" i="182"/>
  <c r="C60" i="182"/>
  <c r="F50" i="181"/>
  <c r="D55" i="181"/>
  <c r="C55" i="181"/>
  <c r="B60" i="181"/>
  <c r="F50" i="180"/>
  <c r="D55" i="180"/>
  <c r="C55" i="180"/>
  <c r="B60" i="180"/>
  <c r="F55" i="179"/>
  <c r="B66" i="179"/>
  <c r="D61" i="179"/>
  <c r="C61" i="179"/>
  <c r="F55" i="178"/>
  <c r="B66" i="178"/>
  <c r="D61" i="178"/>
  <c r="C61" i="178"/>
  <c r="F50" i="176"/>
  <c r="D55" i="176"/>
  <c r="C55" i="176"/>
  <c r="B60" i="176"/>
  <c r="F55" i="174"/>
  <c r="B66" i="174"/>
  <c r="D61" i="174"/>
  <c r="C61" i="174"/>
  <c r="F55" i="173"/>
  <c r="B66" i="173"/>
  <c r="D61" i="173"/>
  <c r="C61" i="173"/>
  <c r="F58" i="172"/>
  <c r="B69" i="172"/>
  <c r="D64" i="172"/>
  <c r="C64" i="172"/>
  <c r="F57" i="171"/>
  <c r="B68" i="171"/>
  <c r="D63" i="171"/>
  <c r="C63" i="171"/>
  <c r="D10" i="39"/>
  <c r="C11" i="39"/>
  <c r="F8" i="39"/>
  <c r="G8" i="39" s="1"/>
  <c r="E9" i="39"/>
  <c r="L9" i="39" s="1"/>
  <c r="A13" i="39"/>
  <c r="K13" i="39" s="1"/>
  <c r="J13" i="39" s="1"/>
  <c r="B12" i="39"/>
  <c r="F40" i="1"/>
  <c r="B50" i="1"/>
  <c r="C50" i="1" s="1"/>
  <c r="D45" i="1"/>
  <c r="F60" i="218" a="1"/>
  <c r="F55" i="214" a="1"/>
  <c r="F60" i="208" a="1"/>
  <c r="F55" i="181" a="1"/>
  <c r="F61" i="179" a="1"/>
  <c r="F55" i="187" a="1"/>
  <c r="F45" i="1" a="1"/>
  <c r="F61" i="174" a="1"/>
  <c r="F50" i="219" a="1"/>
  <c r="F50" i="215" a="1"/>
  <c r="F50" i="210" a="1"/>
  <c r="F50" i="197" a="1"/>
  <c r="F50" i="195" a="1"/>
  <c r="F50" i="175" a="1"/>
  <c r="F60" i="206" a="1"/>
  <c r="F60" i="194" a="1"/>
  <c r="F60" i="216" a="1"/>
  <c r="F55" i="193" a="1"/>
  <c r="F55" i="185" a="1"/>
  <c r="F60" i="191" a="1"/>
  <c r="F60" i="190" a="1"/>
  <c r="F60" i="203" a="1"/>
  <c r="F60" i="183" a="1"/>
  <c r="F64" i="172" a="1"/>
  <c r="F45" i="219" a="1"/>
  <c r="F45" i="215" a="1"/>
  <c r="F45" i="210" a="1"/>
  <c r="F45" i="197" a="1"/>
  <c r="F45" i="195" a="1"/>
  <c r="F45" i="175" a="1"/>
  <c r="F55" i="211" a="1"/>
  <c r="F60" i="200" a="1"/>
  <c r="F55" i="180" a="1"/>
  <c r="F61" i="178" a="1"/>
  <c r="F55" i="207" a="1"/>
  <c r="F60" i="204" a="1"/>
  <c r="F63" i="171" a="1"/>
  <c r="F60" i="212" a="1"/>
  <c r="F60" i="186" a="1"/>
  <c r="F55" i="189" a="1"/>
  <c r="F60" i="198" a="1"/>
  <c r="F60" i="201" a="1"/>
  <c r="F55" i="176" a="1"/>
  <c r="F50" i="217" a="1"/>
  <c r="F50" i="213" a="1"/>
  <c r="F50" i="202" a="1"/>
  <c r="F50" i="196" a="1"/>
  <c r="F50" i="177" a="1"/>
  <c r="F55" i="209" a="1"/>
  <c r="F55" i="188" a="1"/>
  <c r="F55" i="205" a="1"/>
  <c r="F60" i="182" a="1"/>
  <c r="F55" i="220" a="1"/>
  <c r="F45" i="217" a="1"/>
  <c r="F45" i="213" a="1"/>
  <c r="F45" i="202" a="1"/>
  <c r="F45" i="196" a="1"/>
  <c r="F45" i="177" a="1"/>
  <c r="F55" i="192" a="1"/>
  <c r="F55" i="184" a="1"/>
  <c r="F61" i="173" a="1"/>
  <c r="F60" i="199" a="1"/>
  <c r="F45" i="177" l="1"/>
  <c r="F45" i="196"/>
  <c r="F45" i="202"/>
  <c r="F45" i="213"/>
  <c r="F45" i="217"/>
  <c r="F50" i="177"/>
  <c r="F50" i="196"/>
  <c r="F50" i="202"/>
  <c r="F50" i="213"/>
  <c r="F50" i="217"/>
  <c r="F45" i="175"/>
  <c r="F45" i="195"/>
  <c r="F45" i="197"/>
  <c r="F45" i="210"/>
  <c r="F45" i="215"/>
  <c r="F45" i="219"/>
  <c r="F50" i="175"/>
  <c r="F50" i="195"/>
  <c r="F50" i="197"/>
  <c r="F50" i="210"/>
  <c r="F50" i="215"/>
  <c r="F50" i="219"/>
  <c r="D55" i="219"/>
  <c r="C55" i="219"/>
  <c r="B60" i="219"/>
  <c r="D55" i="217"/>
  <c r="C55" i="217"/>
  <c r="B60" i="217"/>
  <c r="D55" i="215"/>
  <c r="C55" i="215"/>
  <c r="B60" i="215"/>
  <c r="D55" i="213"/>
  <c r="C55" i="213"/>
  <c r="B60" i="213"/>
  <c r="D55" i="210"/>
  <c r="C55" i="210"/>
  <c r="B60" i="210"/>
  <c r="D55" i="202"/>
  <c r="C55" i="202"/>
  <c r="B60" i="202"/>
  <c r="D55" i="197"/>
  <c r="C55" i="197"/>
  <c r="B60" i="197"/>
  <c r="D55" i="196"/>
  <c r="C55" i="196"/>
  <c r="B60" i="196"/>
  <c r="D55" i="195"/>
  <c r="C55" i="195"/>
  <c r="B60" i="195"/>
  <c r="D55" i="177"/>
  <c r="B61" i="177"/>
  <c r="C55" i="177"/>
  <c r="D55" i="175"/>
  <c r="C55" i="175"/>
  <c r="B61" i="175"/>
  <c r="F55" i="220"/>
  <c r="B65" i="220"/>
  <c r="D60" i="220"/>
  <c r="C60" i="220"/>
  <c r="F60" i="218"/>
  <c r="B70" i="218"/>
  <c r="D65" i="218"/>
  <c r="C65" i="218"/>
  <c r="F60" i="216"/>
  <c r="B70" i="216"/>
  <c r="D65" i="216"/>
  <c r="C65" i="216"/>
  <c r="F55" i="214"/>
  <c r="B65" i="214"/>
  <c r="D60" i="214"/>
  <c r="C60" i="214"/>
  <c r="F60" i="212"/>
  <c r="B70" i="212"/>
  <c r="D65" i="212"/>
  <c r="C65" i="212"/>
  <c r="F55" i="211"/>
  <c r="B65" i="211"/>
  <c r="D60" i="211"/>
  <c r="C60" i="211"/>
  <c r="F55" i="209"/>
  <c r="B65" i="209"/>
  <c r="D60" i="209"/>
  <c r="C60" i="209"/>
  <c r="F60" i="208"/>
  <c r="B70" i="208"/>
  <c r="D65" i="208"/>
  <c r="C65" i="208"/>
  <c r="F55" i="207"/>
  <c r="B65" i="207"/>
  <c r="D60" i="207"/>
  <c r="C60" i="207"/>
  <c r="F60" i="206"/>
  <c r="B70" i="206"/>
  <c r="D65" i="206"/>
  <c r="C65" i="206"/>
  <c r="F55" i="205"/>
  <c r="B65" i="205"/>
  <c r="D60" i="205"/>
  <c r="C60" i="205"/>
  <c r="F60" i="204"/>
  <c r="B70" i="204"/>
  <c r="D65" i="204"/>
  <c r="C65" i="204"/>
  <c r="F60" i="203"/>
  <c r="B70" i="203"/>
  <c r="D65" i="203"/>
  <c r="C65" i="203"/>
  <c r="F60" i="201"/>
  <c r="B70" i="201"/>
  <c r="D65" i="201"/>
  <c r="C65" i="201"/>
  <c r="F60" i="200"/>
  <c r="B70" i="200"/>
  <c r="D65" i="200"/>
  <c r="C65" i="200"/>
  <c r="F60" i="199"/>
  <c r="B70" i="199"/>
  <c r="D65" i="199"/>
  <c r="C65" i="199"/>
  <c r="F60" i="198"/>
  <c r="B70" i="198"/>
  <c r="D65" i="198"/>
  <c r="C65" i="198"/>
  <c r="F60" i="194"/>
  <c r="B70" i="194"/>
  <c r="D65" i="194"/>
  <c r="C65" i="194"/>
  <c r="F55" i="193"/>
  <c r="B65" i="193"/>
  <c r="C60" i="193"/>
  <c r="D60" i="193"/>
  <c r="F55" i="192"/>
  <c r="B65" i="192"/>
  <c r="D60" i="192"/>
  <c r="C60" i="192"/>
  <c r="F60" i="191"/>
  <c r="B70" i="191"/>
  <c r="D65" i="191"/>
  <c r="C65" i="191"/>
  <c r="F60" i="190"/>
  <c r="B70" i="190"/>
  <c r="D65" i="190"/>
  <c r="C65" i="190"/>
  <c r="F55" i="189"/>
  <c r="B65" i="189"/>
  <c r="D60" i="189"/>
  <c r="C60" i="189"/>
  <c r="F55" i="188"/>
  <c r="B65" i="188"/>
  <c r="D60" i="188"/>
  <c r="C60" i="188"/>
  <c r="F55" i="187"/>
  <c r="B65" i="187"/>
  <c r="D60" i="187"/>
  <c r="C60" i="187"/>
  <c r="F60" i="186"/>
  <c r="B70" i="186"/>
  <c r="D65" i="186"/>
  <c r="C65" i="186"/>
  <c r="F55" i="185"/>
  <c r="B65" i="185"/>
  <c r="D60" i="185"/>
  <c r="C60" i="185"/>
  <c r="F55" i="184"/>
  <c r="B65" i="184"/>
  <c r="D60" i="184"/>
  <c r="C60" i="184"/>
  <c r="F60" i="183"/>
  <c r="B70" i="183"/>
  <c r="D65" i="183"/>
  <c r="C65" i="183"/>
  <c r="F60" i="182"/>
  <c r="B70" i="182"/>
  <c r="D65" i="182"/>
  <c r="C65" i="182"/>
  <c r="F55" i="181"/>
  <c r="B65" i="181"/>
  <c r="D60" i="181"/>
  <c r="C60" i="181"/>
  <c r="F55" i="180"/>
  <c r="B65" i="180"/>
  <c r="D60" i="180"/>
  <c r="C60" i="180"/>
  <c r="F61" i="179"/>
  <c r="B71" i="179"/>
  <c r="D66" i="179"/>
  <c r="C66" i="179"/>
  <c r="F61" i="178"/>
  <c r="B71" i="178"/>
  <c r="D66" i="178"/>
  <c r="C66" i="178"/>
  <c r="F55" i="176"/>
  <c r="B65" i="176"/>
  <c r="D60" i="176"/>
  <c r="C60" i="176"/>
  <c r="F61" i="174"/>
  <c r="B71" i="174"/>
  <c r="D66" i="174"/>
  <c r="C66" i="174"/>
  <c r="F61" i="173"/>
  <c r="B71" i="173"/>
  <c r="D66" i="173"/>
  <c r="C66" i="173"/>
  <c r="F64" i="172"/>
  <c r="B74" i="172"/>
  <c r="D69" i="172"/>
  <c r="C69" i="172"/>
  <c r="F63" i="171"/>
  <c r="B73" i="171"/>
  <c r="D68" i="171"/>
  <c r="C68" i="171"/>
  <c r="C12" i="39"/>
  <c r="F9" i="39"/>
  <c r="G9" i="39" s="1"/>
  <c r="D11" i="39"/>
  <c r="E10" i="39"/>
  <c r="L10" i="39" s="1"/>
  <c r="A14" i="39"/>
  <c r="K14" i="39" s="1"/>
  <c r="J14" i="39" s="1"/>
  <c r="B13" i="39"/>
  <c r="F45" i="1"/>
  <c r="D50" i="1"/>
  <c r="B55" i="1"/>
  <c r="C55" i="1" s="1"/>
  <c r="F65" i="191" a="1"/>
  <c r="F65" i="186" a="1"/>
  <c r="F55" i="210" a="1"/>
  <c r="F55" i="177" a="1"/>
  <c r="F60" i="185" a="1"/>
  <c r="F60" i="207" a="1"/>
  <c r="F65" i="204" a="1"/>
  <c r="F66" i="173" a="1"/>
  <c r="F60" i="187" a="1"/>
  <c r="F55" i="196" a="1"/>
  <c r="F60" i="184" a="1"/>
  <c r="F60" i="193" a="1"/>
  <c r="F66" i="174" a="1"/>
  <c r="F60" i="209" a="1"/>
  <c r="F65" i="203" a="1"/>
  <c r="F55" i="215" a="1"/>
  <c r="F55" i="175" a="1"/>
  <c r="F60" i="181" a="1"/>
  <c r="F65" i="198" a="1"/>
  <c r="F65" i="190" a="1"/>
  <c r="F60" i="176" a="1"/>
  <c r="F65" i="182" a="1"/>
  <c r="F55" i="202" a="1"/>
  <c r="F66" i="179" a="1"/>
  <c r="F60" i="220" a="1"/>
  <c r="F50" i="1" a="1"/>
  <c r="F60" i="188" a="1"/>
  <c r="F60" i="211" a="1"/>
  <c r="F55" i="219" a="1"/>
  <c r="F55" i="195" a="1"/>
  <c r="F65" i="199" a="1"/>
  <c r="F65" i="201" a="1"/>
  <c r="F60" i="205" a="1"/>
  <c r="F69" i="172" a="1"/>
  <c r="F66" i="178" a="1"/>
  <c r="F55" i="213" a="1"/>
  <c r="F65" i="194" a="1"/>
  <c r="F65" i="183" a="1"/>
  <c r="F65" i="208" a="1"/>
  <c r="F60" i="192" a="1"/>
  <c r="F60" i="214" a="1"/>
  <c r="F55" i="197" a="1"/>
  <c r="F65" i="216" a="1"/>
  <c r="F65" i="218" a="1"/>
  <c r="F60" i="180" a="1"/>
  <c r="F68" i="171" a="1"/>
  <c r="F55" i="217" a="1"/>
  <c r="F65" i="212" a="1"/>
  <c r="F60" i="189" a="1"/>
  <c r="F65" i="200" a="1"/>
  <c r="F65" i="206" a="1"/>
  <c r="F55" i="217" l="1"/>
  <c r="F55" i="197"/>
  <c r="F55" i="213"/>
  <c r="F55" i="195"/>
  <c r="F55" i="219"/>
  <c r="F55" i="202"/>
  <c r="F55" i="175"/>
  <c r="F55" i="215"/>
  <c r="F55" i="196"/>
  <c r="F55" i="177"/>
  <c r="F55" i="210"/>
  <c r="B65" i="219"/>
  <c r="D60" i="219"/>
  <c r="C60" i="219"/>
  <c r="B65" i="217"/>
  <c r="D60" i="217"/>
  <c r="C60" i="217"/>
  <c r="B65" i="215"/>
  <c r="D60" i="215"/>
  <c r="C60" i="215"/>
  <c r="B65" i="213"/>
  <c r="D60" i="213"/>
  <c r="C60" i="213"/>
  <c r="B65" i="210"/>
  <c r="D60" i="210"/>
  <c r="C60" i="210"/>
  <c r="B65" i="202"/>
  <c r="D60" i="202"/>
  <c r="C60" i="202"/>
  <c r="B65" i="197"/>
  <c r="D60" i="197"/>
  <c r="C60" i="197"/>
  <c r="B65" i="196"/>
  <c r="D60" i="196"/>
  <c r="C60" i="196"/>
  <c r="B65" i="195"/>
  <c r="D60" i="195"/>
  <c r="C60" i="195"/>
  <c r="B66" i="177"/>
  <c r="D61" i="177"/>
  <c r="C61" i="177"/>
  <c r="B66" i="175"/>
  <c r="D61" i="175"/>
  <c r="C61" i="175"/>
  <c r="F60" i="220"/>
  <c r="B70" i="220"/>
  <c r="D65" i="220"/>
  <c r="C65" i="220"/>
  <c r="F65" i="218"/>
  <c r="C70" i="218"/>
  <c r="B75" i="218"/>
  <c r="D70" i="218"/>
  <c r="F65" i="216"/>
  <c r="C70" i="216"/>
  <c r="B75" i="216"/>
  <c r="D70" i="216"/>
  <c r="F60" i="214"/>
  <c r="B70" i="214"/>
  <c r="D65" i="214"/>
  <c r="C65" i="214"/>
  <c r="F65" i="212"/>
  <c r="B75" i="212"/>
  <c r="D70" i="212"/>
  <c r="C70" i="212"/>
  <c r="F60" i="211"/>
  <c r="B70" i="211"/>
  <c r="D65" i="211"/>
  <c r="C65" i="211"/>
  <c r="F60" i="209"/>
  <c r="B70" i="209"/>
  <c r="D65" i="209"/>
  <c r="C65" i="209"/>
  <c r="F65" i="208"/>
  <c r="B75" i="208"/>
  <c r="D70" i="208"/>
  <c r="C70" i="208"/>
  <c r="F60" i="207"/>
  <c r="B70" i="207"/>
  <c r="D65" i="207"/>
  <c r="C65" i="207"/>
  <c r="F65" i="206"/>
  <c r="B75" i="206"/>
  <c r="D70" i="206"/>
  <c r="C70" i="206"/>
  <c r="F60" i="205"/>
  <c r="B70" i="205"/>
  <c r="D65" i="205"/>
  <c r="C65" i="205"/>
  <c r="F65" i="204"/>
  <c r="B75" i="204"/>
  <c r="D70" i="204"/>
  <c r="C70" i="204"/>
  <c r="F65" i="203"/>
  <c r="B75" i="203"/>
  <c r="C70" i="203"/>
  <c r="D70" i="203"/>
  <c r="F65" i="201"/>
  <c r="B75" i="201"/>
  <c r="C70" i="201"/>
  <c r="D70" i="201"/>
  <c r="F65" i="200"/>
  <c r="B75" i="200"/>
  <c r="D70" i="200"/>
  <c r="C70" i="200"/>
  <c r="F65" i="199"/>
  <c r="B75" i="199"/>
  <c r="D70" i="199"/>
  <c r="C70" i="199"/>
  <c r="F65" i="198"/>
  <c r="B75" i="198"/>
  <c r="D70" i="198"/>
  <c r="C70" i="198"/>
  <c r="F65" i="194"/>
  <c r="B75" i="194"/>
  <c r="D70" i="194"/>
  <c r="C70" i="194"/>
  <c r="F60" i="193"/>
  <c r="B70" i="193"/>
  <c r="D65" i="193"/>
  <c r="C65" i="193"/>
  <c r="F60" i="192"/>
  <c r="B70" i="192"/>
  <c r="D65" i="192"/>
  <c r="C65" i="192"/>
  <c r="F65" i="191"/>
  <c r="B75" i="191"/>
  <c r="D70" i="191"/>
  <c r="C70" i="191"/>
  <c r="F65" i="190"/>
  <c r="B75" i="190"/>
  <c r="C70" i="190"/>
  <c r="D70" i="190"/>
  <c r="F60" i="189"/>
  <c r="B70" i="189"/>
  <c r="D65" i="189"/>
  <c r="C65" i="189"/>
  <c r="F60" i="188"/>
  <c r="B70" i="188"/>
  <c r="D65" i="188"/>
  <c r="C65" i="188"/>
  <c r="F60" i="187"/>
  <c r="B70" i="187"/>
  <c r="D65" i="187"/>
  <c r="C65" i="187"/>
  <c r="F65" i="186"/>
  <c r="B75" i="186"/>
  <c r="C70" i="186"/>
  <c r="D70" i="186"/>
  <c r="F60" i="185"/>
  <c r="B70" i="185"/>
  <c r="D65" i="185"/>
  <c r="C65" i="185"/>
  <c r="F60" i="184"/>
  <c r="B70" i="184"/>
  <c r="D65" i="184"/>
  <c r="C65" i="184"/>
  <c r="F65" i="183"/>
  <c r="B75" i="183"/>
  <c r="D70" i="183"/>
  <c r="C70" i="183"/>
  <c r="F65" i="182"/>
  <c r="B75" i="182"/>
  <c r="D70" i="182"/>
  <c r="C70" i="182"/>
  <c r="F60" i="181"/>
  <c r="B70" i="181"/>
  <c r="D65" i="181"/>
  <c r="C65" i="181"/>
  <c r="F60" i="180"/>
  <c r="B70" i="180"/>
  <c r="D65" i="180"/>
  <c r="C65" i="180"/>
  <c r="F66" i="179"/>
  <c r="B76" i="179"/>
  <c r="D71" i="179"/>
  <c r="C71" i="179"/>
  <c r="F66" i="178"/>
  <c r="C71" i="178"/>
  <c r="B76" i="178"/>
  <c r="D71" i="178"/>
  <c r="F60" i="176"/>
  <c r="B70" i="176"/>
  <c r="D65" i="176"/>
  <c r="C65" i="176"/>
  <c r="F66" i="174"/>
  <c r="C71" i="174"/>
  <c r="D71" i="174"/>
  <c r="B76" i="174"/>
  <c r="F66" i="173"/>
  <c r="B76" i="173"/>
  <c r="D71" i="173"/>
  <c r="C71" i="173"/>
  <c r="F69" i="172"/>
  <c r="C74" i="172"/>
  <c r="B79" i="172"/>
  <c r="D74" i="172"/>
  <c r="F68" i="171"/>
  <c r="C73" i="171"/>
  <c r="B78" i="171"/>
  <c r="D73" i="171"/>
  <c r="C13" i="39"/>
  <c r="F10" i="39"/>
  <c r="G10" i="39" s="1"/>
  <c r="E11" i="39"/>
  <c r="L11" i="39" s="1"/>
  <c r="D12" i="39"/>
  <c r="A15" i="39"/>
  <c r="K15" i="39" s="1"/>
  <c r="J15" i="39" s="1"/>
  <c r="B14" i="39"/>
  <c r="F50" i="1"/>
  <c r="B60" i="1"/>
  <c r="C60" i="1" s="1"/>
  <c r="D55" i="1"/>
  <c r="F70" i="194" a="1"/>
  <c r="F65" i="220" a="1"/>
  <c r="F60" i="215" a="1"/>
  <c r="F61" i="175" a="1"/>
  <c r="F65" i="192" a="1"/>
  <c r="F71" i="179" a="1"/>
  <c r="F70" i="190" a="1"/>
  <c r="F70" i="216" a="1"/>
  <c r="F74" i="172" a="1"/>
  <c r="F60" i="202" a="1"/>
  <c r="F70" i="208" a="1"/>
  <c r="F65" i="214" a="1"/>
  <c r="F70" i="198" a="1"/>
  <c r="F65" i="193" a="1"/>
  <c r="F71" i="173" a="1"/>
  <c r="F60" i="219" a="1"/>
  <c r="F60" i="195" a="1"/>
  <c r="F65" i="209" a="1"/>
  <c r="F70" i="206" a="1"/>
  <c r="F71" i="178" a="1"/>
  <c r="F71" i="174" a="1"/>
  <c r="F65" i="205" a="1"/>
  <c r="F65" i="188" a="1"/>
  <c r="F65" i="187" a="1"/>
  <c r="F70" i="200" a="1"/>
  <c r="F73" i="171" a="1"/>
  <c r="F60" i="213" a="1"/>
  <c r="F70" i="203" a="1"/>
  <c r="F70" i="182" a="1"/>
  <c r="F60" i="197" a="1"/>
  <c r="F65" i="176" a="1"/>
  <c r="F70" i="212" a="1"/>
  <c r="F65" i="185" a="1"/>
  <c r="F70" i="218" a="1"/>
  <c r="F70" i="204" a="1"/>
  <c r="F60" i="217" a="1"/>
  <c r="F61" i="177" a="1"/>
  <c r="F65" i="189" a="1"/>
  <c r="F55" i="1" a="1"/>
  <c r="F70" i="183" a="1"/>
  <c r="F70" i="191" a="1"/>
  <c r="F65" i="211" a="1"/>
  <c r="F60" i="210" a="1"/>
  <c r="F70" i="199" a="1"/>
  <c r="F65" i="207" a="1"/>
  <c r="F65" i="184" a="1"/>
  <c r="F70" i="201" a="1"/>
  <c r="F60" i="196" a="1"/>
  <c r="F70" i="186" a="1"/>
  <c r="F65" i="180" a="1"/>
  <c r="F65" i="181" a="1"/>
  <c r="F60" i="196" l="1"/>
  <c r="F60" i="210"/>
  <c r="F61" i="177"/>
  <c r="F60" i="217"/>
  <c r="F60" i="197"/>
  <c r="F60" i="213"/>
  <c r="F60" i="195"/>
  <c r="F60" i="219"/>
  <c r="F60" i="202"/>
  <c r="F61" i="175"/>
  <c r="F60" i="215"/>
  <c r="B70" i="219"/>
  <c r="D65" i="219"/>
  <c r="C65" i="219"/>
  <c r="B70" i="217"/>
  <c r="D65" i="217"/>
  <c r="C65" i="217"/>
  <c r="B70" i="215"/>
  <c r="D65" i="215"/>
  <c r="C65" i="215"/>
  <c r="B70" i="213"/>
  <c r="D65" i="213"/>
  <c r="C65" i="213"/>
  <c r="B70" i="210"/>
  <c r="D65" i="210"/>
  <c r="C65" i="210"/>
  <c r="B70" i="202"/>
  <c r="D65" i="202"/>
  <c r="C65" i="202"/>
  <c r="B70" i="197"/>
  <c r="D65" i="197"/>
  <c r="C65" i="197"/>
  <c r="B70" i="196"/>
  <c r="D65" i="196"/>
  <c r="C65" i="196"/>
  <c r="B70" i="195"/>
  <c r="D65" i="195"/>
  <c r="C65" i="195"/>
  <c r="B71" i="177"/>
  <c r="D66" i="177"/>
  <c r="C66" i="177"/>
  <c r="B71" i="175"/>
  <c r="D66" i="175"/>
  <c r="C66" i="175"/>
  <c r="F65" i="220"/>
  <c r="B75" i="220"/>
  <c r="C70" i="220"/>
  <c r="D70" i="220"/>
  <c r="F70" i="218"/>
  <c r="B80" i="218"/>
  <c r="D75" i="218"/>
  <c r="C75" i="218"/>
  <c r="F70" i="216"/>
  <c r="B80" i="216"/>
  <c r="D75" i="216"/>
  <c r="C75" i="216"/>
  <c r="F65" i="214"/>
  <c r="C70" i="214"/>
  <c r="B75" i="214"/>
  <c r="D70" i="214"/>
  <c r="F70" i="212"/>
  <c r="B80" i="212"/>
  <c r="D75" i="212"/>
  <c r="C75" i="212"/>
  <c r="F65" i="211"/>
  <c r="B75" i="211"/>
  <c r="D70" i="211"/>
  <c r="C70" i="211"/>
  <c r="F65" i="209"/>
  <c r="B75" i="209"/>
  <c r="D70" i="209"/>
  <c r="C70" i="209"/>
  <c r="F70" i="208"/>
  <c r="B80" i="208"/>
  <c r="D75" i="208"/>
  <c r="C75" i="208"/>
  <c r="F65" i="207"/>
  <c r="B75" i="207"/>
  <c r="C70" i="207"/>
  <c r="D70" i="207"/>
  <c r="F70" i="206"/>
  <c r="B80" i="206"/>
  <c r="D75" i="206"/>
  <c r="C75" i="206"/>
  <c r="F65" i="205"/>
  <c r="C70" i="205"/>
  <c r="B75" i="205"/>
  <c r="D70" i="205"/>
  <c r="F70" i="204"/>
  <c r="B80" i="204"/>
  <c r="D75" i="204"/>
  <c r="C75" i="204"/>
  <c r="F70" i="203"/>
  <c r="B80" i="203"/>
  <c r="D75" i="203"/>
  <c r="C75" i="203"/>
  <c r="F70" i="201"/>
  <c r="B80" i="201"/>
  <c r="D75" i="201"/>
  <c r="C75" i="201"/>
  <c r="F70" i="200"/>
  <c r="B80" i="200"/>
  <c r="D75" i="200"/>
  <c r="C75" i="200"/>
  <c r="F70" i="199"/>
  <c r="B80" i="199"/>
  <c r="D75" i="199"/>
  <c r="C75" i="199"/>
  <c r="F70" i="198"/>
  <c r="B80" i="198"/>
  <c r="D75" i="198"/>
  <c r="C75" i="198"/>
  <c r="F70" i="194"/>
  <c r="B80" i="194"/>
  <c r="D75" i="194"/>
  <c r="C75" i="194"/>
  <c r="F65" i="193"/>
  <c r="B75" i="193"/>
  <c r="D70" i="193"/>
  <c r="C70" i="193"/>
  <c r="F65" i="192"/>
  <c r="B75" i="192"/>
  <c r="D70" i="192"/>
  <c r="C70" i="192"/>
  <c r="F70" i="191"/>
  <c r="B80" i="191"/>
  <c r="D75" i="191"/>
  <c r="C75" i="191"/>
  <c r="F70" i="190"/>
  <c r="B80" i="190"/>
  <c r="D75" i="190"/>
  <c r="C75" i="190"/>
  <c r="F65" i="189"/>
  <c r="C70" i="189"/>
  <c r="D70" i="189"/>
  <c r="B75" i="189"/>
  <c r="F65" i="188"/>
  <c r="C70" i="188"/>
  <c r="B75" i="188"/>
  <c r="D70" i="188"/>
  <c r="F65" i="187"/>
  <c r="B75" i="187"/>
  <c r="C70" i="187"/>
  <c r="D70" i="187"/>
  <c r="F70" i="186"/>
  <c r="B80" i="186"/>
  <c r="D75" i="186"/>
  <c r="C75" i="186"/>
  <c r="F65" i="185"/>
  <c r="B75" i="185"/>
  <c r="D70" i="185"/>
  <c r="C70" i="185"/>
  <c r="F65" i="184"/>
  <c r="B75" i="184"/>
  <c r="D70" i="184"/>
  <c r="C70" i="184"/>
  <c r="F70" i="183"/>
  <c r="B80" i="183"/>
  <c r="D75" i="183"/>
  <c r="C75" i="183"/>
  <c r="F70" i="182"/>
  <c r="B80" i="182"/>
  <c r="D75" i="182"/>
  <c r="C75" i="182"/>
  <c r="F65" i="181"/>
  <c r="B75" i="181"/>
  <c r="D70" i="181"/>
  <c r="C70" i="181"/>
  <c r="F65" i="180"/>
  <c r="B75" i="180"/>
  <c r="C70" i="180"/>
  <c r="D70" i="180"/>
  <c r="F71" i="179"/>
  <c r="B81" i="179"/>
  <c r="D76" i="179"/>
  <c r="C76" i="179"/>
  <c r="F71" i="178"/>
  <c r="B81" i="178"/>
  <c r="D76" i="178"/>
  <c r="C76" i="178"/>
  <c r="F65" i="176"/>
  <c r="B75" i="176"/>
  <c r="D70" i="176"/>
  <c r="C70" i="176"/>
  <c r="F71" i="174"/>
  <c r="B81" i="174"/>
  <c r="D76" i="174"/>
  <c r="C76" i="174"/>
  <c r="F71" i="173"/>
  <c r="B81" i="173"/>
  <c r="D76" i="173"/>
  <c r="C76" i="173"/>
  <c r="F74" i="172"/>
  <c r="B84" i="172"/>
  <c r="D79" i="172"/>
  <c r="C79" i="172"/>
  <c r="F73" i="171"/>
  <c r="B83" i="171"/>
  <c r="D78" i="171"/>
  <c r="C78" i="171"/>
  <c r="C14" i="39"/>
  <c r="E12" i="39"/>
  <c r="L12" i="39" s="1"/>
  <c r="F11" i="39"/>
  <c r="G11" i="39" s="1"/>
  <c r="D13" i="39"/>
  <c r="A16" i="39"/>
  <c r="K16" i="39" s="1"/>
  <c r="J16" i="39" s="1"/>
  <c r="B15" i="39"/>
  <c r="F55" i="1"/>
  <c r="B65" i="1"/>
  <c r="C65" i="1" s="1"/>
  <c r="D60" i="1"/>
  <c r="F70" i="214" a="1"/>
  <c r="F70" i="220" a="1"/>
  <c r="F65" i="196" a="1"/>
  <c r="F76" i="178" a="1"/>
  <c r="F76" i="179" a="1"/>
  <c r="F65" i="215" a="1"/>
  <c r="F66" i="175" a="1"/>
  <c r="F70" i="205" a="1"/>
  <c r="F60" i="1" a="1"/>
  <c r="F75" i="212" a="1"/>
  <c r="F70" i="188" a="1"/>
  <c r="F75" i="199" a="1"/>
  <c r="F65" i="202" a="1"/>
  <c r="F70" i="211" a="1"/>
  <c r="F70" i="209" a="1"/>
  <c r="F75" i="203" a="1"/>
  <c r="F70" i="185" a="1"/>
  <c r="F75" i="200" a="1"/>
  <c r="F65" i="219" a="1"/>
  <c r="F65" i="195" a="1"/>
  <c r="F70" i="207" a="1"/>
  <c r="F70" i="189" a="1"/>
  <c r="F75" i="183" a="1"/>
  <c r="F70" i="181" a="1"/>
  <c r="F75" i="186" a="1"/>
  <c r="F75" i="182" a="1"/>
  <c r="F75" i="208" a="1"/>
  <c r="F75" i="206" a="1"/>
  <c r="F65" i="213" a="1"/>
  <c r="F75" i="198" a="1"/>
  <c r="F78" i="171" a="1"/>
  <c r="F65" i="197" a="1"/>
  <c r="F75" i="204" a="1"/>
  <c r="F75" i="194" a="1"/>
  <c r="F70" i="193" a="1"/>
  <c r="F70" i="184" a="1"/>
  <c r="F75" i="191" a="1"/>
  <c r="F65" i="217" a="1"/>
  <c r="F66" i="177" a="1"/>
  <c r="F79" i="172" a="1"/>
  <c r="F75" i="201" a="1"/>
  <c r="F75" i="218" a="1"/>
  <c r="F76" i="173" a="1"/>
  <c r="F76" i="174" a="1"/>
  <c r="F65" i="210" a="1"/>
  <c r="F75" i="190" a="1"/>
  <c r="F70" i="192" a="1"/>
  <c r="F70" i="180" a="1"/>
  <c r="F70" i="176" a="1"/>
  <c r="F75" i="216" a="1"/>
  <c r="F70" i="187" a="1"/>
  <c r="F65" i="210" l="1"/>
  <c r="F66" i="177"/>
  <c r="F65" i="217"/>
  <c r="F65" i="197"/>
  <c r="F65" i="213"/>
  <c r="F65" i="195"/>
  <c r="F65" i="219"/>
  <c r="F65" i="202"/>
  <c r="F66" i="175"/>
  <c r="F65" i="215"/>
  <c r="F65" i="196"/>
  <c r="B75" i="219"/>
  <c r="D70" i="219"/>
  <c r="C70" i="219"/>
  <c r="B75" i="217"/>
  <c r="D70" i="217"/>
  <c r="C70" i="217"/>
  <c r="B75" i="215"/>
  <c r="D70" i="215"/>
  <c r="C70" i="215"/>
  <c r="B75" i="213"/>
  <c r="D70" i="213"/>
  <c r="C70" i="213"/>
  <c r="B75" i="210"/>
  <c r="C70" i="210"/>
  <c r="D70" i="210"/>
  <c r="B75" i="202"/>
  <c r="D70" i="202"/>
  <c r="C70" i="202"/>
  <c r="B75" i="197"/>
  <c r="D70" i="197"/>
  <c r="C70" i="197"/>
  <c r="B75" i="196"/>
  <c r="D70" i="196"/>
  <c r="C70" i="196"/>
  <c r="B75" i="195"/>
  <c r="D70" i="195"/>
  <c r="C70" i="195"/>
  <c r="B76" i="177"/>
  <c r="D71" i="177"/>
  <c r="C71" i="177"/>
  <c r="B76" i="175"/>
  <c r="D71" i="175"/>
  <c r="C71" i="175"/>
  <c r="F70" i="220"/>
  <c r="B80" i="220"/>
  <c r="D75" i="220"/>
  <c r="C75" i="220"/>
  <c r="F75" i="218"/>
  <c r="D80" i="218"/>
  <c r="C80" i="218"/>
  <c r="B85" i="218"/>
  <c r="F75" i="216"/>
  <c r="D80" i="216"/>
  <c r="C80" i="216"/>
  <c r="B85" i="216"/>
  <c r="F70" i="214"/>
  <c r="B80" i="214"/>
  <c r="D75" i="214"/>
  <c r="C75" i="214"/>
  <c r="F75" i="212"/>
  <c r="D80" i="212"/>
  <c r="C80" i="212"/>
  <c r="B85" i="212"/>
  <c r="F70" i="211"/>
  <c r="B80" i="211"/>
  <c r="D75" i="211"/>
  <c r="C75" i="211"/>
  <c r="F70" i="209"/>
  <c r="B80" i="209"/>
  <c r="D75" i="209"/>
  <c r="C75" i="209"/>
  <c r="F75" i="208"/>
  <c r="D80" i="208"/>
  <c r="C80" i="208"/>
  <c r="B85" i="208"/>
  <c r="F70" i="207"/>
  <c r="B80" i="207"/>
  <c r="D75" i="207"/>
  <c r="C75" i="207"/>
  <c r="F75" i="206"/>
  <c r="D80" i="206"/>
  <c r="C80" i="206"/>
  <c r="B85" i="206"/>
  <c r="F70" i="205"/>
  <c r="B80" i="205"/>
  <c r="D75" i="205"/>
  <c r="C75" i="205"/>
  <c r="F75" i="204"/>
  <c r="D80" i="204"/>
  <c r="C80" i="204"/>
  <c r="B85" i="204"/>
  <c r="F75" i="203"/>
  <c r="D80" i="203"/>
  <c r="C80" i="203"/>
  <c r="B85" i="203"/>
  <c r="F75" i="201"/>
  <c r="D80" i="201"/>
  <c r="C80" i="201"/>
  <c r="B85" i="201"/>
  <c r="F75" i="200"/>
  <c r="D80" i="200"/>
  <c r="C80" i="200"/>
  <c r="B85" i="200"/>
  <c r="F75" i="199"/>
  <c r="D80" i="199"/>
  <c r="C80" i="199"/>
  <c r="B85" i="199"/>
  <c r="F75" i="198"/>
  <c r="D80" i="198"/>
  <c r="C80" i="198"/>
  <c r="B85" i="198"/>
  <c r="F75" i="194"/>
  <c r="D80" i="194"/>
  <c r="C80" i="194"/>
  <c r="B85" i="194"/>
  <c r="F70" i="193"/>
  <c r="B80" i="193"/>
  <c r="D75" i="193"/>
  <c r="C75" i="193"/>
  <c r="F70" i="192"/>
  <c r="B80" i="192"/>
  <c r="D75" i="192"/>
  <c r="C75" i="192"/>
  <c r="F75" i="191"/>
  <c r="D80" i="191"/>
  <c r="C80" i="191"/>
  <c r="B85" i="191"/>
  <c r="F75" i="190"/>
  <c r="D80" i="190"/>
  <c r="C80" i="190"/>
  <c r="B85" i="190"/>
  <c r="F70" i="189"/>
  <c r="B80" i="189"/>
  <c r="D75" i="189"/>
  <c r="C75" i="189"/>
  <c r="F70" i="188"/>
  <c r="B80" i="188"/>
  <c r="D75" i="188"/>
  <c r="C75" i="188"/>
  <c r="F70" i="187"/>
  <c r="B80" i="187"/>
  <c r="D75" i="187"/>
  <c r="C75" i="187"/>
  <c r="F75" i="186"/>
  <c r="D80" i="186"/>
  <c r="C80" i="186"/>
  <c r="B85" i="186"/>
  <c r="F70" i="185"/>
  <c r="B80" i="185"/>
  <c r="D75" i="185"/>
  <c r="C75" i="185"/>
  <c r="F70" i="184"/>
  <c r="B80" i="184"/>
  <c r="D75" i="184"/>
  <c r="C75" i="184"/>
  <c r="F75" i="183"/>
  <c r="D80" i="183"/>
  <c r="C80" i="183"/>
  <c r="B85" i="183"/>
  <c r="F75" i="182"/>
  <c r="D80" i="182"/>
  <c r="C80" i="182"/>
  <c r="B85" i="182"/>
  <c r="F70" i="181"/>
  <c r="B80" i="181"/>
  <c r="D75" i="181"/>
  <c r="C75" i="181"/>
  <c r="F70" i="180"/>
  <c r="B80" i="180"/>
  <c r="D75" i="180"/>
  <c r="C75" i="180"/>
  <c r="F76" i="179"/>
  <c r="D81" i="179"/>
  <c r="C81" i="179"/>
  <c r="B86" i="179"/>
  <c r="F76" i="178"/>
  <c r="D81" i="178"/>
  <c r="C81" i="178"/>
  <c r="B86" i="178"/>
  <c r="F70" i="176"/>
  <c r="B80" i="176"/>
  <c r="D75" i="176"/>
  <c r="C75" i="176"/>
  <c r="F76" i="174"/>
  <c r="D81" i="174"/>
  <c r="C81" i="174"/>
  <c r="B86" i="174"/>
  <c r="F76" i="173"/>
  <c r="D81" i="173"/>
  <c r="C81" i="173"/>
  <c r="B86" i="173"/>
  <c r="F79" i="172"/>
  <c r="D84" i="172"/>
  <c r="C84" i="172"/>
  <c r="B89" i="172"/>
  <c r="F78" i="171"/>
  <c r="D83" i="171"/>
  <c r="C83" i="171"/>
  <c r="B88" i="171"/>
  <c r="C15" i="39"/>
  <c r="E13" i="39"/>
  <c r="L13" i="39" s="1"/>
  <c r="F12" i="39"/>
  <c r="G12" i="39" s="1"/>
  <c r="D14" i="39"/>
  <c r="A17" i="39"/>
  <c r="K17" i="39" s="1"/>
  <c r="J17" i="39" s="1"/>
  <c r="B16" i="39"/>
  <c r="F60" i="1"/>
  <c r="B70" i="1"/>
  <c r="C70" i="1" s="1"/>
  <c r="D65" i="1"/>
  <c r="F75" i="187" a="1"/>
  <c r="F70" i="215" a="1"/>
  <c r="F71" i="175" a="1"/>
  <c r="F83" i="171" a="1"/>
  <c r="F80" i="183" a="1"/>
  <c r="F80" i="201" a="1"/>
  <c r="F80" i="191" a="1"/>
  <c r="F75" i="180" a="1"/>
  <c r="F70" i="202" a="1"/>
  <c r="F75" i="205" a="1"/>
  <c r="F80" i="194" a="1"/>
  <c r="F80" i="206" a="1"/>
  <c r="F81" i="173" a="1"/>
  <c r="F80" i="216" a="1"/>
  <c r="F70" i="219" a="1"/>
  <c r="F70" i="195" a="1"/>
  <c r="F75" i="192" a="1"/>
  <c r="F80" i="203" a="1"/>
  <c r="F84" i="172" a="1"/>
  <c r="F65" i="1" a="1"/>
  <c r="F75" i="185" a="1"/>
  <c r="F80" i="218" a="1"/>
  <c r="F80" i="198" a="1"/>
  <c r="F70" i="213" a="1"/>
  <c r="F80" i="204" a="1"/>
  <c r="F70" i="197" a="1"/>
  <c r="F80" i="200" a="1"/>
  <c r="F80" i="208" a="1"/>
  <c r="F75" i="220" a="1"/>
  <c r="F75" i="188" a="1"/>
  <c r="F80" i="186" a="1"/>
  <c r="F70" i="217" a="1"/>
  <c r="F71" i="177" a="1"/>
  <c r="F75" i="209" a="1"/>
  <c r="F75" i="214" a="1"/>
  <c r="F81" i="179" a="1"/>
  <c r="F75" i="211" a="1"/>
  <c r="F75" i="189" a="1"/>
  <c r="F75" i="193" a="1"/>
  <c r="F75" i="181" a="1"/>
  <c r="F80" i="199" a="1"/>
  <c r="F81" i="178" a="1"/>
  <c r="F80" i="182" a="1"/>
  <c r="F70" i="196" a="1"/>
  <c r="F80" i="190" a="1"/>
  <c r="F75" i="176" a="1"/>
  <c r="F75" i="184" a="1"/>
  <c r="F80" i="212" a="1"/>
  <c r="F81" i="174" a="1"/>
  <c r="F75" i="207" a="1"/>
  <c r="F70" i="196" l="1"/>
  <c r="F71" i="177"/>
  <c r="F70" i="217"/>
  <c r="F70" i="197"/>
  <c r="F70" i="213"/>
  <c r="F70" i="195"/>
  <c r="F70" i="219"/>
  <c r="F70" i="202"/>
  <c r="F71" i="175"/>
  <c r="F70" i="215"/>
  <c r="B80" i="219"/>
  <c r="D75" i="219"/>
  <c r="C75" i="219"/>
  <c r="B80" i="217"/>
  <c r="D75" i="217"/>
  <c r="C75" i="217"/>
  <c r="B80" i="215"/>
  <c r="D75" i="215"/>
  <c r="C75" i="215"/>
  <c r="B80" i="213"/>
  <c r="D75" i="213"/>
  <c r="C75" i="213"/>
  <c r="B80" i="210"/>
  <c r="D75" i="210"/>
  <c r="C75" i="210"/>
  <c r="B80" i="202"/>
  <c r="D75" i="202"/>
  <c r="C75" i="202"/>
  <c r="B80" i="197"/>
  <c r="D75" i="197"/>
  <c r="C75" i="197"/>
  <c r="B80" i="196"/>
  <c r="D75" i="196"/>
  <c r="C75" i="196"/>
  <c r="B80" i="195"/>
  <c r="D75" i="195"/>
  <c r="C75" i="195"/>
  <c r="B81" i="177"/>
  <c r="D76" i="177"/>
  <c r="C76" i="177"/>
  <c r="B81" i="175"/>
  <c r="D76" i="175"/>
  <c r="C76" i="175"/>
  <c r="F75" i="220"/>
  <c r="D80" i="220"/>
  <c r="C80" i="220"/>
  <c r="B85" i="220"/>
  <c r="F80" i="218"/>
  <c r="B90" i="218"/>
  <c r="D85" i="218"/>
  <c r="C85" i="218"/>
  <c r="F80" i="216"/>
  <c r="B90" i="216"/>
  <c r="D85" i="216"/>
  <c r="C85" i="216"/>
  <c r="F75" i="214"/>
  <c r="D80" i="214"/>
  <c r="C80" i="214"/>
  <c r="B85" i="214"/>
  <c r="F80" i="212"/>
  <c r="B90" i="212"/>
  <c r="D85" i="212"/>
  <c r="C85" i="212"/>
  <c r="F75" i="211"/>
  <c r="D80" i="211"/>
  <c r="C80" i="211"/>
  <c r="B85" i="211"/>
  <c r="F75" i="209"/>
  <c r="D80" i="209"/>
  <c r="C80" i="209"/>
  <c r="B85" i="209"/>
  <c r="F80" i="208"/>
  <c r="B90" i="208"/>
  <c r="D85" i="208"/>
  <c r="C85" i="208"/>
  <c r="F75" i="207"/>
  <c r="D80" i="207"/>
  <c r="C80" i="207"/>
  <c r="B85" i="207"/>
  <c r="F80" i="206"/>
  <c r="B90" i="206"/>
  <c r="D85" i="206"/>
  <c r="C85" i="206"/>
  <c r="F75" i="205"/>
  <c r="D80" i="205"/>
  <c r="C80" i="205"/>
  <c r="B85" i="205"/>
  <c r="F80" i="204"/>
  <c r="B90" i="204"/>
  <c r="D85" i="204"/>
  <c r="C85" i="204"/>
  <c r="F80" i="203"/>
  <c r="B90" i="203"/>
  <c r="D85" i="203"/>
  <c r="C85" i="203"/>
  <c r="F80" i="201"/>
  <c r="B90" i="201"/>
  <c r="D85" i="201"/>
  <c r="C85" i="201"/>
  <c r="F80" i="200"/>
  <c r="B90" i="200"/>
  <c r="D85" i="200"/>
  <c r="C85" i="200"/>
  <c r="F80" i="199"/>
  <c r="B90" i="199"/>
  <c r="D85" i="199"/>
  <c r="C85" i="199"/>
  <c r="F80" i="198"/>
  <c r="B90" i="198"/>
  <c r="D85" i="198"/>
  <c r="C85" i="198"/>
  <c r="F80" i="194"/>
  <c r="B90" i="194"/>
  <c r="D85" i="194"/>
  <c r="C85" i="194"/>
  <c r="F75" i="193"/>
  <c r="D80" i="193"/>
  <c r="C80" i="193"/>
  <c r="B85" i="193"/>
  <c r="F75" i="192"/>
  <c r="D80" i="192"/>
  <c r="C80" i="192"/>
  <c r="B85" i="192"/>
  <c r="F80" i="191"/>
  <c r="B90" i="191"/>
  <c r="D85" i="191"/>
  <c r="C85" i="191"/>
  <c r="F80" i="190"/>
  <c r="B90" i="190"/>
  <c r="D85" i="190"/>
  <c r="C85" i="190"/>
  <c r="F75" i="189"/>
  <c r="D80" i="189"/>
  <c r="C80" i="189"/>
  <c r="B85" i="189"/>
  <c r="F75" i="188"/>
  <c r="D80" i="188"/>
  <c r="C80" i="188"/>
  <c r="B85" i="188"/>
  <c r="F75" i="187"/>
  <c r="D80" i="187"/>
  <c r="C80" i="187"/>
  <c r="B85" i="187"/>
  <c r="F80" i="186"/>
  <c r="B90" i="186"/>
  <c r="D85" i="186"/>
  <c r="C85" i="186"/>
  <c r="F75" i="185"/>
  <c r="D80" i="185"/>
  <c r="C80" i="185"/>
  <c r="B85" i="185"/>
  <c r="F75" i="184"/>
  <c r="D80" i="184"/>
  <c r="C80" i="184"/>
  <c r="B85" i="184"/>
  <c r="F80" i="183"/>
  <c r="B90" i="183"/>
  <c r="D85" i="183"/>
  <c r="C85" i="183"/>
  <c r="F80" i="182"/>
  <c r="B90" i="182"/>
  <c r="D85" i="182"/>
  <c r="C85" i="182"/>
  <c r="F75" i="181"/>
  <c r="D80" i="181"/>
  <c r="C80" i="181"/>
  <c r="B85" i="181"/>
  <c r="F75" i="180"/>
  <c r="D80" i="180"/>
  <c r="C80" i="180"/>
  <c r="B85" i="180"/>
  <c r="F81" i="179"/>
  <c r="B91" i="179"/>
  <c r="D86" i="179"/>
  <c r="C86" i="179"/>
  <c r="F81" i="178"/>
  <c r="B91" i="178"/>
  <c r="D86" i="178"/>
  <c r="C86" i="178"/>
  <c r="F75" i="176"/>
  <c r="D80" i="176"/>
  <c r="C80" i="176"/>
  <c r="B85" i="176"/>
  <c r="F81" i="174"/>
  <c r="B91" i="174"/>
  <c r="D86" i="174"/>
  <c r="C86" i="174"/>
  <c r="F81" i="173"/>
  <c r="B91" i="173"/>
  <c r="D86" i="173"/>
  <c r="C86" i="173"/>
  <c r="F84" i="172"/>
  <c r="B94" i="172"/>
  <c r="D89" i="172"/>
  <c r="C89" i="172"/>
  <c r="F83" i="171"/>
  <c r="B93" i="171"/>
  <c r="D88" i="171"/>
  <c r="C88" i="171"/>
  <c r="C16" i="39"/>
  <c r="E14" i="39"/>
  <c r="L14" i="39" s="1"/>
  <c r="F13" i="39"/>
  <c r="G13" i="39" s="1"/>
  <c r="D15" i="39"/>
  <c r="A18" i="39"/>
  <c r="B17" i="39"/>
  <c r="F65" i="1"/>
  <c r="B75" i="1"/>
  <c r="C75" i="1" s="1"/>
  <c r="D70" i="1"/>
  <c r="F80" i="214" a="1"/>
  <c r="F85" i="208" a="1"/>
  <c r="F85" i="198" a="1"/>
  <c r="F76" i="175" a="1"/>
  <c r="F70" i="1" a="1"/>
  <c r="F89" i="172" a="1"/>
  <c r="F80" i="188" a="1"/>
  <c r="F80" i="189" a="1"/>
  <c r="F85" i="190" a="1"/>
  <c r="F75" i="219" a="1"/>
  <c r="F75" i="202" a="1"/>
  <c r="F86" i="179" a="1"/>
  <c r="F85" i="182" a="1"/>
  <c r="F85" i="203" a="1"/>
  <c r="F85" i="206" a="1"/>
  <c r="F80" i="185" a="1"/>
  <c r="F75" i="213" a="1"/>
  <c r="F75" i="195" a="1"/>
  <c r="F80" i="181" a="1"/>
  <c r="F80" i="211" a="1"/>
  <c r="F85" i="194" a="1"/>
  <c r="F80" i="220" a="1"/>
  <c r="F85" i="183" a="1"/>
  <c r="F86" i="174" a="1"/>
  <c r="F85" i="216" a="1"/>
  <c r="F75" i="217" a="1"/>
  <c r="F75" i="197" a="1"/>
  <c r="F86" i="173" a="1"/>
  <c r="F88" i="171" a="1"/>
  <c r="F80" i="192" a="1"/>
  <c r="F80" i="187" a="1"/>
  <c r="F85" i="186" a="1"/>
  <c r="F76" i="177" a="1"/>
  <c r="F85" i="200" a="1"/>
  <c r="F85" i="204" a="1"/>
  <c r="F80" i="176" a="1"/>
  <c r="F86" i="178" a="1"/>
  <c r="F80" i="180" a="1"/>
  <c r="F75" i="210" a="1"/>
  <c r="F85" i="218" a="1"/>
  <c r="F80" i="205" a="1"/>
  <c r="F85" i="201" a="1"/>
  <c r="F80" i="209" a="1"/>
  <c r="F80" i="207" a="1"/>
  <c r="F75" i="215" a="1"/>
  <c r="F75" i="196" a="1"/>
  <c r="F80" i="184" a="1"/>
  <c r="F85" i="199" a="1"/>
  <c r="F80" i="193" a="1"/>
  <c r="F85" i="212" a="1"/>
  <c r="F70" i="210" a="1"/>
  <c r="F85" i="191" a="1"/>
  <c r="F70" i="210" l="1"/>
  <c r="F75" i="196"/>
  <c r="F75" i="215"/>
  <c r="F75" i="210"/>
  <c r="F76" i="177"/>
  <c r="F75" i="197"/>
  <c r="F75" i="217"/>
  <c r="F75" i="195"/>
  <c r="F75" i="213"/>
  <c r="F75" i="202"/>
  <c r="F75" i="219"/>
  <c r="F76" i="175"/>
  <c r="D80" i="219"/>
  <c r="C80" i="219"/>
  <c r="B85" i="219"/>
  <c r="D80" i="217"/>
  <c r="C80" i="217"/>
  <c r="B85" i="217"/>
  <c r="D80" i="215"/>
  <c r="C80" i="215"/>
  <c r="B85" i="215"/>
  <c r="D80" i="213"/>
  <c r="C80" i="213"/>
  <c r="B85" i="213"/>
  <c r="D80" i="210"/>
  <c r="C80" i="210"/>
  <c r="B85" i="210"/>
  <c r="D80" i="202"/>
  <c r="C80" i="202"/>
  <c r="B85" i="202"/>
  <c r="D80" i="197"/>
  <c r="C80" i="197"/>
  <c r="B85" i="197"/>
  <c r="D80" i="196"/>
  <c r="C80" i="196"/>
  <c r="B85" i="196"/>
  <c r="D80" i="195"/>
  <c r="C80" i="195"/>
  <c r="B85" i="195"/>
  <c r="D81" i="177"/>
  <c r="C81" i="177"/>
  <c r="B86" i="177"/>
  <c r="D81" i="175"/>
  <c r="C81" i="175"/>
  <c r="B86" i="175"/>
  <c r="F80" i="220"/>
  <c r="B90" i="220"/>
  <c r="D85" i="220"/>
  <c r="C85" i="220"/>
  <c r="F85" i="218"/>
  <c r="D90" i="218"/>
  <c r="C90" i="218"/>
  <c r="B95" i="218"/>
  <c r="F85" i="216"/>
  <c r="B95" i="216"/>
  <c r="D90" i="216"/>
  <c r="C90" i="216"/>
  <c r="F80" i="214"/>
  <c r="B90" i="214"/>
  <c r="D85" i="214"/>
  <c r="C85" i="214"/>
  <c r="F85" i="212"/>
  <c r="D90" i="212"/>
  <c r="C90" i="212"/>
  <c r="B95" i="212"/>
  <c r="F80" i="211"/>
  <c r="B90" i="211"/>
  <c r="D85" i="211"/>
  <c r="C85" i="211"/>
  <c r="F80" i="209"/>
  <c r="B90" i="209"/>
  <c r="D85" i="209"/>
  <c r="C85" i="209"/>
  <c r="F85" i="208"/>
  <c r="D90" i="208"/>
  <c r="C90" i="208"/>
  <c r="B95" i="208"/>
  <c r="F80" i="207"/>
  <c r="B90" i="207"/>
  <c r="D85" i="207"/>
  <c r="C85" i="207"/>
  <c r="F85" i="206"/>
  <c r="D90" i="206"/>
  <c r="C90" i="206"/>
  <c r="B95" i="206"/>
  <c r="F80" i="205"/>
  <c r="B90" i="205"/>
  <c r="D85" i="205"/>
  <c r="C85" i="205"/>
  <c r="F85" i="204"/>
  <c r="D90" i="204"/>
  <c r="C90" i="204"/>
  <c r="B95" i="204"/>
  <c r="F85" i="203"/>
  <c r="D90" i="203"/>
  <c r="C90" i="203"/>
  <c r="B95" i="203"/>
  <c r="F85" i="201"/>
  <c r="D90" i="201"/>
  <c r="C90" i="201"/>
  <c r="B95" i="201"/>
  <c r="F85" i="200"/>
  <c r="D90" i="200"/>
  <c r="C90" i="200"/>
  <c r="B95" i="200"/>
  <c r="F85" i="199"/>
  <c r="D90" i="199"/>
  <c r="C90" i="199"/>
  <c r="B95" i="199"/>
  <c r="F85" i="198"/>
  <c r="D90" i="198"/>
  <c r="C90" i="198"/>
  <c r="B95" i="198"/>
  <c r="F85" i="194"/>
  <c r="D90" i="194"/>
  <c r="C90" i="194"/>
  <c r="B95" i="194"/>
  <c r="F80" i="193"/>
  <c r="B90" i="193"/>
  <c r="D85" i="193"/>
  <c r="C85" i="193"/>
  <c r="F80" i="192"/>
  <c r="B90" i="192"/>
  <c r="D85" i="192"/>
  <c r="C85" i="192"/>
  <c r="F85" i="191"/>
  <c r="D90" i="191"/>
  <c r="C90" i="191"/>
  <c r="B95" i="191"/>
  <c r="F85" i="190"/>
  <c r="D90" i="190"/>
  <c r="C90" i="190"/>
  <c r="B95" i="190"/>
  <c r="F80" i="189"/>
  <c r="B90" i="189"/>
  <c r="D85" i="189"/>
  <c r="C85" i="189"/>
  <c r="F80" i="188"/>
  <c r="B90" i="188"/>
  <c r="D85" i="188"/>
  <c r="C85" i="188"/>
  <c r="F80" i="187"/>
  <c r="B90" i="187"/>
  <c r="D85" i="187"/>
  <c r="C85" i="187"/>
  <c r="F85" i="186"/>
  <c r="D90" i="186"/>
  <c r="C90" i="186"/>
  <c r="B95" i="186"/>
  <c r="F80" i="185"/>
  <c r="B90" i="185"/>
  <c r="D85" i="185"/>
  <c r="C85" i="185"/>
  <c r="F80" i="184"/>
  <c r="B90" i="184"/>
  <c r="D85" i="184"/>
  <c r="C85" i="184"/>
  <c r="F85" i="183"/>
  <c r="B95" i="183"/>
  <c r="D90" i="183"/>
  <c r="C90" i="183"/>
  <c r="F85" i="182"/>
  <c r="B95" i="182"/>
  <c r="D90" i="182"/>
  <c r="C90" i="182"/>
  <c r="F80" i="181"/>
  <c r="B90" i="181"/>
  <c r="D85" i="181"/>
  <c r="C85" i="181"/>
  <c r="F80" i="180"/>
  <c r="B90" i="180"/>
  <c r="D85" i="180"/>
  <c r="C85" i="180"/>
  <c r="F86" i="179"/>
  <c r="D91" i="179"/>
  <c r="C91" i="179"/>
  <c r="B96" i="179"/>
  <c r="F86" i="178"/>
  <c r="D91" i="178"/>
  <c r="C91" i="178"/>
  <c r="B96" i="178"/>
  <c r="F80" i="176"/>
  <c r="B90" i="176"/>
  <c r="D85" i="176"/>
  <c r="C85" i="176"/>
  <c r="F86" i="174"/>
  <c r="D91" i="174"/>
  <c r="C91" i="174"/>
  <c r="B96" i="174"/>
  <c r="F86" i="173"/>
  <c r="D91" i="173"/>
  <c r="C91" i="173"/>
  <c r="B96" i="173"/>
  <c r="F89" i="172"/>
  <c r="B99" i="172"/>
  <c r="D94" i="172"/>
  <c r="C94" i="172"/>
  <c r="F88" i="171"/>
  <c r="D93" i="171"/>
  <c r="C93" i="171"/>
  <c r="B98" i="171"/>
  <c r="C17" i="39"/>
  <c r="F14" i="39"/>
  <c r="G14" i="39" s="1"/>
  <c r="E15" i="39"/>
  <c r="L15" i="39" s="1"/>
  <c r="D16" i="39"/>
  <c r="A19" i="39"/>
  <c r="K19" i="39" s="1"/>
  <c r="J19" i="39" s="1"/>
  <c r="B18" i="39"/>
  <c r="K18" i="39" s="1"/>
  <c r="J18" i="39" s="1"/>
  <c r="F70" i="1"/>
  <c r="B80" i="1"/>
  <c r="C80" i="1" s="1"/>
  <c r="D75" i="1"/>
  <c r="F75" i="1" a="1"/>
  <c r="F80" i="215" a="1"/>
  <c r="F81" i="175" a="1"/>
  <c r="F90" i="200" a="1"/>
  <c r="F90" i="206" a="1"/>
  <c r="F90" i="194" a="1"/>
  <c r="F85" i="180" a="1"/>
  <c r="F90" i="183" a="1"/>
  <c r="F80" i="202" a="1"/>
  <c r="F85" i="214" a="1"/>
  <c r="F85" i="188" a="1"/>
  <c r="F94" i="172" a="1"/>
  <c r="F85" i="187" a="1"/>
  <c r="F85" i="211" a="1"/>
  <c r="F80" i="219" a="1"/>
  <c r="F80" i="195" a="1"/>
  <c r="F85" i="176" a="1"/>
  <c r="F90" i="198" a="1"/>
  <c r="F90" i="203" a="1"/>
  <c r="F85" i="193" a="1"/>
  <c r="F80" i="213" a="1"/>
  <c r="F91" i="178" a="1"/>
  <c r="F85" i="185" a="1"/>
  <c r="F91" i="173" a="1"/>
  <c r="F85" i="192" a="1"/>
  <c r="F85" i="181" a="1"/>
  <c r="F80" i="197" a="1"/>
  <c r="F90" i="182" a="1"/>
  <c r="F90" i="199" a="1"/>
  <c r="F85" i="189" a="1"/>
  <c r="F90" i="186" a="1"/>
  <c r="F90" i="201" a="1"/>
  <c r="F80" i="217" a="1"/>
  <c r="F81" i="177" a="1"/>
  <c r="F90" i="190" a="1"/>
  <c r="F90" i="208" a="1"/>
  <c r="F93" i="171" a="1"/>
  <c r="F90" i="216" a="1"/>
  <c r="F85" i="184" a="1"/>
  <c r="F80" i="210" a="1"/>
  <c r="F85" i="207" a="1"/>
  <c r="F90" i="212" a="1"/>
  <c r="F90" i="204" a="1"/>
  <c r="F85" i="220" a="1"/>
  <c r="F91" i="179" a="1"/>
  <c r="F80" i="196" a="1"/>
  <c r="F90" i="191" a="1"/>
  <c r="F85" i="205" a="1"/>
  <c r="F90" i="218" a="1"/>
  <c r="F91" i="174" a="1"/>
  <c r="F85" i="209" a="1"/>
  <c r="F80" i="196" l="1"/>
  <c r="F80" i="210"/>
  <c r="F81" i="177"/>
  <c r="F80" i="217"/>
  <c r="F80" i="197"/>
  <c r="F80" i="213"/>
  <c r="F80" i="195"/>
  <c r="F80" i="219"/>
  <c r="F80" i="202"/>
  <c r="F81" i="175"/>
  <c r="F80" i="215"/>
  <c r="B90" i="219"/>
  <c r="D85" i="219"/>
  <c r="C85" i="219"/>
  <c r="B90" i="217"/>
  <c r="D85" i="217"/>
  <c r="C85" i="217"/>
  <c r="B90" i="215"/>
  <c r="D85" i="215"/>
  <c r="C85" i="215"/>
  <c r="B90" i="213"/>
  <c r="D85" i="213"/>
  <c r="C85" i="213"/>
  <c r="B90" i="210"/>
  <c r="D85" i="210"/>
  <c r="C85" i="210"/>
  <c r="B90" i="202"/>
  <c r="D85" i="202"/>
  <c r="C85" i="202"/>
  <c r="B90" i="197"/>
  <c r="D85" i="197"/>
  <c r="C85" i="197"/>
  <c r="B90" i="196"/>
  <c r="D85" i="196"/>
  <c r="C85" i="196"/>
  <c r="B90" i="195"/>
  <c r="D85" i="195"/>
  <c r="C85" i="195"/>
  <c r="B91" i="177"/>
  <c r="D86" i="177"/>
  <c r="C86" i="177"/>
  <c r="B91" i="175"/>
  <c r="D86" i="175"/>
  <c r="C86" i="175"/>
  <c r="F85" i="220"/>
  <c r="D90" i="220"/>
  <c r="C90" i="220"/>
  <c r="B95" i="220"/>
  <c r="F90" i="218"/>
  <c r="B100" i="218"/>
  <c r="C95" i="218"/>
  <c r="D95" i="218"/>
  <c r="F90" i="216"/>
  <c r="B100" i="216"/>
  <c r="C95" i="216"/>
  <c r="D95" i="216"/>
  <c r="F85" i="214"/>
  <c r="D90" i="214"/>
  <c r="C90" i="214"/>
  <c r="B95" i="214"/>
  <c r="F90" i="212"/>
  <c r="B100" i="212"/>
  <c r="D95" i="212"/>
  <c r="C95" i="212"/>
  <c r="F85" i="211"/>
  <c r="D90" i="211"/>
  <c r="C90" i="211"/>
  <c r="B95" i="211"/>
  <c r="F85" i="209"/>
  <c r="D90" i="209"/>
  <c r="C90" i="209"/>
  <c r="B95" i="209"/>
  <c r="F90" i="208"/>
  <c r="B100" i="208"/>
  <c r="D95" i="208"/>
  <c r="C95" i="208"/>
  <c r="F85" i="207"/>
  <c r="D90" i="207"/>
  <c r="C90" i="207"/>
  <c r="B95" i="207"/>
  <c r="F90" i="206"/>
  <c r="B100" i="206"/>
  <c r="D95" i="206"/>
  <c r="C95" i="206"/>
  <c r="F85" i="205"/>
  <c r="D90" i="205"/>
  <c r="B95" i="205"/>
  <c r="C90" i="205"/>
  <c r="F90" i="204"/>
  <c r="B100" i="204"/>
  <c r="D95" i="204"/>
  <c r="C95" i="204"/>
  <c r="F90" i="203"/>
  <c r="B100" i="203"/>
  <c r="D95" i="203"/>
  <c r="C95" i="203"/>
  <c r="F90" i="201"/>
  <c r="B100" i="201"/>
  <c r="D95" i="201"/>
  <c r="C95" i="201"/>
  <c r="F90" i="200"/>
  <c r="B100" i="200"/>
  <c r="D95" i="200"/>
  <c r="C95" i="200"/>
  <c r="F90" i="199"/>
  <c r="B100" i="199"/>
  <c r="D95" i="199"/>
  <c r="C95" i="199"/>
  <c r="F90" i="198"/>
  <c r="B100" i="198"/>
  <c r="D95" i="198"/>
  <c r="C95" i="198"/>
  <c r="F90" i="194"/>
  <c r="B100" i="194"/>
  <c r="D95" i="194"/>
  <c r="C95" i="194"/>
  <c r="F85" i="193"/>
  <c r="D90" i="193"/>
  <c r="C90" i="193"/>
  <c r="B95" i="193"/>
  <c r="F85" i="192"/>
  <c r="D90" i="192"/>
  <c r="C90" i="192"/>
  <c r="B95" i="192"/>
  <c r="F90" i="191"/>
  <c r="B100" i="191"/>
  <c r="D95" i="191"/>
  <c r="C95" i="191"/>
  <c r="F90" i="190"/>
  <c r="B100" i="190"/>
  <c r="D95" i="190"/>
  <c r="C95" i="190"/>
  <c r="F85" i="189"/>
  <c r="D90" i="189"/>
  <c r="C90" i="189"/>
  <c r="B95" i="189"/>
  <c r="F85" i="188"/>
  <c r="D90" i="188"/>
  <c r="C90" i="188"/>
  <c r="B95" i="188"/>
  <c r="F85" i="187"/>
  <c r="D90" i="187"/>
  <c r="C90" i="187"/>
  <c r="B95" i="187"/>
  <c r="F90" i="186"/>
  <c r="B100" i="186"/>
  <c r="D95" i="186"/>
  <c r="C95" i="186"/>
  <c r="F85" i="185"/>
  <c r="D90" i="185"/>
  <c r="C90" i="185"/>
  <c r="B95" i="185"/>
  <c r="F85" i="184"/>
  <c r="D90" i="184"/>
  <c r="C90" i="184"/>
  <c r="B95" i="184"/>
  <c r="F90" i="183"/>
  <c r="B100" i="183"/>
  <c r="D95" i="183"/>
  <c r="C95" i="183"/>
  <c r="F90" i="182"/>
  <c r="B100" i="182"/>
  <c r="D95" i="182"/>
  <c r="C95" i="182"/>
  <c r="F85" i="181"/>
  <c r="D90" i="181"/>
  <c r="C90" i="181"/>
  <c r="B95" i="181"/>
  <c r="F85" i="180"/>
  <c r="D90" i="180"/>
  <c r="C90" i="180"/>
  <c r="B95" i="180"/>
  <c r="F91" i="179"/>
  <c r="B101" i="179"/>
  <c r="D96" i="179"/>
  <c r="C96" i="179"/>
  <c r="F91" i="178"/>
  <c r="B101" i="178"/>
  <c r="D96" i="178"/>
  <c r="C96" i="178"/>
  <c r="F85" i="176"/>
  <c r="D90" i="176"/>
  <c r="C90" i="176"/>
  <c r="B95" i="176"/>
  <c r="F91" i="174"/>
  <c r="C96" i="174"/>
  <c r="B101" i="174"/>
  <c r="D96" i="174"/>
  <c r="F91" i="173"/>
  <c r="B101" i="173"/>
  <c r="D96" i="173"/>
  <c r="C96" i="173"/>
  <c r="F94" i="172"/>
  <c r="B104" i="172"/>
  <c r="D99" i="172"/>
  <c r="C99" i="172"/>
  <c r="F93" i="171"/>
  <c r="B103" i="171"/>
  <c r="D98" i="171"/>
  <c r="C98" i="171"/>
  <c r="C18" i="39"/>
  <c r="E16" i="39"/>
  <c r="L16" i="39" s="1"/>
  <c r="F15" i="39"/>
  <c r="G15" i="39" s="1"/>
  <c r="D17" i="39"/>
  <c r="B19" i="39"/>
  <c r="A20" i="39"/>
  <c r="K20" i="39" s="1"/>
  <c r="J20" i="39" s="1"/>
  <c r="F75" i="1"/>
  <c r="B85" i="1"/>
  <c r="C85" i="1" s="1"/>
  <c r="D80" i="1"/>
  <c r="F95" i="200" a="1"/>
  <c r="F85" i="196" a="1"/>
  <c r="F96" i="174" a="1"/>
  <c r="F85" i="215" a="1"/>
  <c r="F86" i="175" a="1"/>
  <c r="F90" i="192" a="1"/>
  <c r="F95" i="212" a="1"/>
  <c r="F98" i="171" a="1"/>
  <c r="F96" i="178" a="1"/>
  <c r="F95" i="199" a="1"/>
  <c r="F85" i="202" a="1"/>
  <c r="F95" i="201" a="1"/>
  <c r="F90" i="205" a="1"/>
  <c r="F90" i="188" a="1"/>
  <c r="F90" i="184" a="1"/>
  <c r="F95" i="186" a="1"/>
  <c r="F85" i="219" a="1"/>
  <c r="F85" i="195" a="1"/>
  <c r="F80" i="1" a="1"/>
  <c r="F90" i="214" a="1"/>
  <c r="F90" i="211" a="1"/>
  <c r="F95" i="183" a="1"/>
  <c r="F90" i="176" a="1"/>
  <c r="F90" i="209" a="1"/>
  <c r="F95" i="218" a="1"/>
  <c r="F95" i="206" a="1"/>
  <c r="F85" i="213" a="1"/>
  <c r="F90" i="220" a="1"/>
  <c r="F85" i="197" a="1"/>
  <c r="F90" i="187" a="1"/>
  <c r="F95" i="203" a="1"/>
  <c r="F95" i="208" a="1"/>
  <c r="F95" i="204" a="1"/>
  <c r="F95" i="191" a="1"/>
  <c r="F85" i="217" a="1"/>
  <c r="F86" i="177" a="1"/>
  <c r="F90" i="189" a="1"/>
  <c r="F96" i="179" a="1"/>
  <c r="F96" i="173" a="1"/>
  <c r="F99" i="172" a="1"/>
  <c r="F90" i="185" a="1"/>
  <c r="F85" i="210" a="1"/>
  <c r="F95" i="182" a="1"/>
  <c r="F95" i="198" a="1"/>
  <c r="F90" i="181" a="1"/>
  <c r="F95" i="190" a="1"/>
  <c r="F90" i="180" a="1"/>
  <c r="F90" i="193" a="1"/>
  <c r="F95" i="194" a="1"/>
  <c r="F90" i="207" a="1"/>
  <c r="F95" i="216" a="1"/>
  <c r="F85" i="210" l="1"/>
  <c r="F86" i="177"/>
  <c r="F85" i="217"/>
  <c r="F85" i="197"/>
  <c r="F85" i="213"/>
  <c r="F85" i="195"/>
  <c r="F85" i="219"/>
  <c r="F85" i="202"/>
  <c r="F86" i="175"/>
  <c r="F85" i="215"/>
  <c r="F85" i="196"/>
  <c r="D90" i="219"/>
  <c r="C90" i="219"/>
  <c r="B95" i="219"/>
  <c r="D90" i="217"/>
  <c r="C90" i="217"/>
  <c r="B95" i="217"/>
  <c r="D90" i="215"/>
  <c r="C90" i="215"/>
  <c r="B95" i="215"/>
  <c r="D90" i="213"/>
  <c r="C90" i="213"/>
  <c r="B95" i="213"/>
  <c r="D90" i="210"/>
  <c r="C90" i="210"/>
  <c r="B95" i="210"/>
  <c r="D90" i="202"/>
  <c r="C90" i="202"/>
  <c r="B95" i="202"/>
  <c r="D90" i="197"/>
  <c r="C90" i="197"/>
  <c r="B95" i="197"/>
  <c r="D90" i="196"/>
  <c r="C90" i="196"/>
  <c r="B95" i="196"/>
  <c r="D90" i="195"/>
  <c r="C90" i="195"/>
  <c r="B95" i="195"/>
  <c r="C91" i="177"/>
  <c r="D91" i="177"/>
  <c r="B96" i="177"/>
  <c r="D91" i="175"/>
  <c r="C91" i="175"/>
  <c r="B96" i="175"/>
  <c r="F90" i="220"/>
  <c r="B100" i="220"/>
  <c r="D95" i="220"/>
  <c r="C95" i="220"/>
  <c r="F95" i="218"/>
  <c r="B105" i="218"/>
  <c r="D100" i="218"/>
  <c r="C100" i="218"/>
  <c r="F95" i="216"/>
  <c r="B105" i="216"/>
  <c r="D100" i="216"/>
  <c r="C100" i="216"/>
  <c r="F90" i="214"/>
  <c r="B100" i="214"/>
  <c r="D95" i="214"/>
  <c r="C95" i="214"/>
  <c r="F95" i="212"/>
  <c r="B105" i="212"/>
  <c r="D100" i="212"/>
  <c r="C100" i="212"/>
  <c r="F90" i="211"/>
  <c r="B100" i="211"/>
  <c r="D95" i="211"/>
  <c r="C95" i="211"/>
  <c r="F90" i="209"/>
  <c r="B100" i="209"/>
  <c r="D95" i="209"/>
  <c r="C95" i="209"/>
  <c r="F95" i="208"/>
  <c r="B105" i="208"/>
  <c r="D100" i="208"/>
  <c r="C100" i="208"/>
  <c r="F90" i="207"/>
  <c r="B100" i="207"/>
  <c r="D95" i="207"/>
  <c r="C95" i="207"/>
  <c r="F95" i="206"/>
  <c r="B105" i="206"/>
  <c r="D100" i="206"/>
  <c r="C100" i="206"/>
  <c r="F90" i="205"/>
  <c r="B100" i="205"/>
  <c r="D95" i="205"/>
  <c r="C95" i="205"/>
  <c r="F95" i="204"/>
  <c r="B105" i="204"/>
  <c r="D100" i="204"/>
  <c r="C100" i="204"/>
  <c r="F95" i="203"/>
  <c r="B105" i="203"/>
  <c r="D100" i="203"/>
  <c r="C100" i="203"/>
  <c r="F95" i="201"/>
  <c r="B105" i="201"/>
  <c r="D100" i="201"/>
  <c r="C100" i="201"/>
  <c r="F95" i="200"/>
  <c r="B105" i="200"/>
  <c r="D100" i="200"/>
  <c r="C100" i="200"/>
  <c r="F95" i="199"/>
  <c r="B105" i="199"/>
  <c r="D100" i="199"/>
  <c r="C100" i="199"/>
  <c r="F95" i="198"/>
  <c r="B105" i="198"/>
  <c r="D100" i="198"/>
  <c r="C100" i="198"/>
  <c r="F95" i="194"/>
  <c r="B105" i="194"/>
  <c r="D100" i="194"/>
  <c r="C100" i="194"/>
  <c r="F90" i="193"/>
  <c r="B100" i="193"/>
  <c r="D95" i="193"/>
  <c r="C95" i="193"/>
  <c r="F90" i="192"/>
  <c r="B100" i="192"/>
  <c r="D95" i="192"/>
  <c r="C95" i="192"/>
  <c r="F95" i="191"/>
  <c r="B105" i="191"/>
  <c r="D100" i="191"/>
  <c r="C100" i="191"/>
  <c r="F95" i="190"/>
  <c r="B105" i="190"/>
  <c r="D100" i="190"/>
  <c r="C100" i="190"/>
  <c r="F90" i="189"/>
  <c r="C95" i="189"/>
  <c r="B100" i="189"/>
  <c r="D95" i="189"/>
  <c r="F90" i="188"/>
  <c r="B100" i="188"/>
  <c r="C95" i="188"/>
  <c r="D95" i="188"/>
  <c r="F90" i="187"/>
  <c r="B100" i="187"/>
  <c r="D95" i="187"/>
  <c r="C95" i="187"/>
  <c r="F95" i="186"/>
  <c r="B105" i="186"/>
  <c r="D100" i="186"/>
  <c r="C100" i="186"/>
  <c r="F90" i="185"/>
  <c r="B100" i="185"/>
  <c r="D95" i="185"/>
  <c r="C95" i="185"/>
  <c r="F90" i="184"/>
  <c r="B100" i="184"/>
  <c r="D95" i="184"/>
  <c r="C95" i="184"/>
  <c r="F95" i="183"/>
  <c r="B105" i="183"/>
  <c r="D100" i="183"/>
  <c r="C100" i="183"/>
  <c r="F95" i="182"/>
  <c r="B105" i="182"/>
  <c r="D100" i="182"/>
  <c r="C100" i="182"/>
  <c r="F90" i="181"/>
  <c r="B100" i="181"/>
  <c r="D95" i="181"/>
  <c r="C95" i="181"/>
  <c r="F90" i="180"/>
  <c r="B100" i="180"/>
  <c r="D95" i="180"/>
  <c r="C95" i="180"/>
  <c r="F96" i="179"/>
  <c r="B106" i="179"/>
  <c r="D101" i="179"/>
  <c r="C101" i="179"/>
  <c r="F96" i="178"/>
  <c r="B106" i="178"/>
  <c r="D101" i="178"/>
  <c r="C101" i="178"/>
  <c r="F90" i="176"/>
  <c r="B100" i="176"/>
  <c r="C95" i="176"/>
  <c r="D95" i="176"/>
  <c r="F96" i="174"/>
  <c r="B106" i="174"/>
  <c r="D101" i="174"/>
  <c r="C101" i="174"/>
  <c r="F96" i="173"/>
  <c r="B106" i="173"/>
  <c r="D101" i="173"/>
  <c r="C101" i="173"/>
  <c r="F99" i="172"/>
  <c r="B109" i="172"/>
  <c r="D104" i="172"/>
  <c r="C104" i="172"/>
  <c r="F98" i="171"/>
  <c r="B108" i="171"/>
  <c r="D103" i="171"/>
  <c r="C103" i="171"/>
  <c r="C19" i="39"/>
  <c r="E17" i="39"/>
  <c r="L17" i="39" s="1"/>
  <c r="F16" i="39"/>
  <c r="G16" i="39" s="1"/>
  <c r="D18" i="39"/>
  <c r="A21" i="39"/>
  <c r="K21" i="39" s="1"/>
  <c r="J21" i="39" s="1"/>
  <c r="B20" i="39"/>
  <c r="F80" i="1"/>
  <c r="B90" i="1"/>
  <c r="C90" i="1" s="1"/>
  <c r="D85" i="1"/>
  <c r="F90" i="196" a="1"/>
  <c r="F95" i="184" a="1"/>
  <c r="F95" i="180" a="1"/>
  <c r="F103" i="171" a="1"/>
  <c r="F95" i="192" a="1"/>
  <c r="F95" i="193" a="1"/>
  <c r="F95" i="207" a="1"/>
  <c r="F95" i="220" a="1"/>
  <c r="F100" i="190" a="1"/>
  <c r="F100" i="216" a="1"/>
  <c r="F100" i="191" a="1"/>
  <c r="F90" i="215" a="1"/>
  <c r="F91" i="175" a="1"/>
  <c r="F100" i="182" a="1"/>
  <c r="F85" i="1" a="1"/>
  <c r="F100" i="194" a="1"/>
  <c r="F95" i="185" a="1"/>
  <c r="F100" i="186" a="1"/>
  <c r="F95" i="176" a="1"/>
  <c r="F101" i="179" a="1"/>
  <c r="F90" i="202" a="1"/>
  <c r="F100" i="218" a="1"/>
  <c r="F95" i="181" a="1"/>
  <c r="F100" i="203" a="1"/>
  <c r="F100" i="204" a="1"/>
  <c r="F100" i="208" a="1"/>
  <c r="F90" i="219" a="1"/>
  <c r="F90" i="195" a="1"/>
  <c r="F95" i="211" a="1"/>
  <c r="F100" i="198" a="1"/>
  <c r="F100" i="200" a="1"/>
  <c r="F90" i="213" a="1"/>
  <c r="F95" i="189" a="1"/>
  <c r="F101" i="174" a="1"/>
  <c r="F90" i="197" a="1"/>
  <c r="F104" i="172" a="1"/>
  <c r="F101" i="178" a="1"/>
  <c r="F100" i="201" a="1"/>
  <c r="F95" i="214" a="1"/>
  <c r="F100" i="183" a="1"/>
  <c r="F90" i="217" a="1"/>
  <c r="F101" i="173" a="1"/>
  <c r="F100" i="199" a="1"/>
  <c r="F95" i="188" a="1"/>
  <c r="F100" i="212" a="1"/>
  <c r="F95" i="209" a="1"/>
  <c r="F90" i="210" a="1"/>
  <c r="F95" i="187" a="1"/>
  <c r="F95" i="205" a="1"/>
  <c r="F100" i="206" a="1"/>
  <c r="F90" i="210" l="1"/>
  <c r="F90" i="217"/>
  <c r="F90" i="197"/>
  <c r="F90" i="213"/>
  <c r="F90" i="195"/>
  <c r="F90" i="219"/>
  <c r="F90" i="202"/>
  <c r="F91" i="175"/>
  <c r="F90" i="215"/>
  <c r="F90" i="196"/>
  <c r="B100" i="219"/>
  <c r="D95" i="219"/>
  <c r="C95" i="219"/>
  <c r="B100" i="217"/>
  <c r="D95" i="217"/>
  <c r="C95" i="217"/>
  <c r="B100" i="215"/>
  <c r="D95" i="215"/>
  <c r="C95" i="215"/>
  <c r="B100" i="213"/>
  <c r="D95" i="213"/>
  <c r="C95" i="213"/>
  <c r="B100" i="210"/>
  <c r="D95" i="210"/>
  <c r="C95" i="210"/>
  <c r="B100" i="202"/>
  <c r="D95" i="202"/>
  <c r="C95" i="202"/>
  <c r="B100" i="197"/>
  <c r="D95" i="197"/>
  <c r="C95" i="197"/>
  <c r="B100" i="196"/>
  <c r="D95" i="196"/>
  <c r="C95" i="196"/>
  <c r="B100" i="195"/>
  <c r="D95" i="195"/>
  <c r="C95" i="195"/>
  <c r="B101" i="177"/>
  <c r="D96" i="177"/>
  <c r="C96" i="177"/>
  <c r="B101" i="175"/>
  <c r="D96" i="175"/>
  <c r="C96" i="175"/>
  <c r="F95" i="220"/>
  <c r="B105" i="220"/>
  <c r="D100" i="220"/>
  <c r="C100" i="220"/>
  <c r="F100" i="218"/>
  <c r="C105" i="218"/>
  <c r="B110" i="218"/>
  <c r="D105" i="218"/>
  <c r="F100" i="216"/>
  <c r="C105" i="216"/>
  <c r="D105" i="216"/>
  <c r="B110" i="216"/>
  <c r="F95" i="214"/>
  <c r="B105" i="214"/>
  <c r="D100" i="214"/>
  <c r="C100" i="214"/>
  <c r="F100" i="212"/>
  <c r="C105" i="212"/>
  <c r="B110" i="212"/>
  <c r="D105" i="212"/>
  <c r="F95" i="211"/>
  <c r="B105" i="211"/>
  <c r="D100" i="211"/>
  <c r="C100" i="211"/>
  <c r="F95" i="209"/>
  <c r="B105" i="209"/>
  <c r="D100" i="209"/>
  <c r="C100" i="209"/>
  <c r="F100" i="208"/>
  <c r="C105" i="208"/>
  <c r="B110" i="208"/>
  <c r="D105" i="208"/>
  <c r="F95" i="207"/>
  <c r="B105" i="207"/>
  <c r="D100" i="207"/>
  <c r="C100" i="207"/>
  <c r="F100" i="206"/>
  <c r="C105" i="206"/>
  <c r="B110" i="206"/>
  <c r="D105" i="206"/>
  <c r="F95" i="205"/>
  <c r="B105" i="205"/>
  <c r="D100" i="205"/>
  <c r="C100" i="205"/>
  <c r="F100" i="204"/>
  <c r="C105" i="204"/>
  <c r="B110" i="204"/>
  <c r="D105" i="204"/>
  <c r="F100" i="203"/>
  <c r="C105" i="203"/>
  <c r="D105" i="203"/>
  <c r="B110" i="203"/>
  <c r="F100" i="201"/>
  <c r="C105" i="201"/>
  <c r="B110" i="201"/>
  <c r="D105" i="201"/>
  <c r="F100" i="200"/>
  <c r="C105" i="200"/>
  <c r="B110" i="200"/>
  <c r="D105" i="200"/>
  <c r="F100" i="199"/>
  <c r="C105" i="199"/>
  <c r="B110" i="199"/>
  <c r="D105" i="199"/>
  <c r="F100" i="198"/>
  <c r="C105" i="198"/>
  <c r="B110" i="198"/>
  <c r="D105" i="198"/>
  <c r="F100" i="194"/>
  <c r="C105" i="194"/>
  <c r="B110" i="194"/>
  <c r="D105" i="194"/>
  <c r="F95" i="193"/>
  <c r="B105" i="193"/>
  <c r="D100" i="193"/>
  <c r="C100" i="193"/>
  <c r="F95" i="192"/>
  <c r="B105" i="192"/>
  <c r="D100" i="192"/>
  <c r="C100" i="192"/>
  <c r="F100" i="191"/>
  <c r="C105" i="191"/>
  <c r="B110" i="191"/>
  <c r="D105" i="191"/>
  <c r="F100" i="190"/>
  <c r="C105" i="190"/>
  <c r="D105" i="190"/>
  <c r="B110" i="190"/>
  <c r="F95" i="189"/>
  <c r="B105" i="189"/>
  <c r="D100" i="189"/>
  <c r="C100" i="189"/>
  <c r="F95" i="188"/>
  <c r="B105" i="188"/>
  <c r="D100" i="188"/>
  <c r="C100" i="188"/>
  <c r="F95" i="187"/>
  <c r="B105" i="187"/>
  <c r="D100" i="187"/>
  <c r="C100" i="187"/>
  <c r="F100" i="186"/>
  <c r="C105" i="186"/>
  <c r="B110" i="186"/>
  <c r="D105" i="186"/>
  <c r="F95" i="185"/>
  <c r="B105" i="185"/>
  <c r="D100" i="185"/>
  <c r="C100" i="185"/>
  <c r="F95" i="184"/>
  <c r="B105" i="184"/>
  <c r="D100" i="184"/>
  <c r="C100" i="184"/>
  <c r="F100" i="183"/>
  <c r="C105" i="183"/>
  <c r="D105" i="183"/>
  <c r="B110" i="183"/>
  <c r="F100" i="182"/>
  <c r="C105" i="182"/>
  <c r="D105" i="182"/>
  <c r="B110" i="182"/>
  <c r="F95" i="181"/>
  <c r="B105" i="181"/>
  <c r="D100" i="181"/>
  <c r="C100" i="181"/>
  <c r="F95" i="180"/>
  <c r="B105" i="180"/>
  <c r="D100" i="180"/>
  <c r="C100" i="180"/>
  <c r="F101" i="179"/>
  <c r="C106" i="179"/>
  <c r="B111" i="179"/>
  <c r="D106" i="179"/>
  <c r="F101" i="178"/>
  <c r="C106" i="178"/>
  <c r="D106" i="178"/>
  <c r="B111" i="178"/>
  <c r="F95" i="176"/>
  <c r="B105" i="176"/>
  <c r="D100" i="176"/>
  <c r="C100" i="176"/>
  <c r="F101" i="174"/>
  <c r="C106" i="174"/>
  <c r="D106" i="174"/>
  <c r="B111" i="174"/>
  <c r="F101" i="173"/>
  <c r="C106" i="173"/>
  <c r="B111" i="173"/>
  <c r="D106" i="173"/>
  <c r="F104" i="172"/>
  <c r="C109" i="172"/>
  <c r="D109" i="172"/>
  <c r="B114" i="172"/>
  <c r="F103" i="171"/>
  <c r="C108" i="171"/>
  <c r="D108" i="171"/>
  <c r="B113" i="171"/>
  <c r="C20" i="39"/>
  <c r="E18" i="39"/>
  <c r="L18" i="39" s="1"/>
  <c r="F17" i="39"/>
  <c r="G17" i="39" s="1"/>
  <c r="D19" i="39"/>
  <c r="A22" i="39"/>
  <c r="B21" i="39"/>
  <c r="F85" i="1"/>
  <c r="D90" i="1"/>
  <c r="B95" i="1"/>
  <c r="C95" i="1" s="1"/>
  <c r="F95" i="210" a="1"/>
  <c r="F91" i="177" a="1"/>
  <c r="F105" i="201" a="1"/>
  <c r="F105" i="216" a="1"/>
  <c r="F109" i="172" a="1"/>
  <c r="F100" i="184" a="1"/>
  <c r="F105" i="212" a="1"/>
  <c r="F95" i="196" a="1"/>
  <c r="F105" i="182" a="1"/>
  <c r="F105" i="200" a="1"/>
  <c r="F100" i="192" a="1"/>
  <c r="F100" i="189" a="1"/>
  <c r="F100" i="209" a="1"/>
  <c r="F100" i="187" a="1"/>
  <c r="F100" i="220" a="1"/>
  <c r="F106" i="174" a="1"/>
  <c r="F106" i="179" a="1"/>
  <c r="F100" i="181" a="1"/>
  <c r="F108" i="171" a="1"/>
  <c r="F95" i="215" a="1"/>
  <c r="F105" i="206" a="1"/>
  <c r="F100" i="214" a="1"/>
  <c r="F105" i="204" a="1"/>
  <c r="F105" i="186" a="1"/>
  <c r="F105" i="194" a="1"/>
  <c r="F96" i="175" a="1"/>
  <c r="F105" i="191" a="1"/>
  <c r="F100" i="188" a="1"/>
  <c r="F105" i="203" a="1"/>
  <c r="F90" i="1" a="1"/>
  <c r="F96" i="177" a="1"/>
  <c r="F95" i="202" a="1"/>
  <c r="F106" i="173" a="1"/>
  <c r="F100" i="207" a="1"/>
  <c r="F106" i="178" a="1"/>
  <c r="F105" i="190" a="1"/>
  <c r="F105" i="199" a="1"/>
  <c r="F105" i="183" a="1"/>
  <c r="F95" i="219" a="1"/>
  <c r="F95" i="195" a="1"/>
  <c r="F100" i="205" a="1"/>
  <c r="F100" i="185" a="1"/>
  <c r="F95" i="217" a="1"/>
  <c r="F105" i="198" a="1"/>
  <c r="F95" i="213" a="1"/>
  <c r="F100" i="176" a="1"/>
  <c r="F100" i="211" a="1"/>
  <c r="F105" i="208" a="1"/>
  <c r="F105" i="218" a="1"/>
  <c r="F95" i="197" a="1"/>
  <c r="F100" i="180" a="1"/>
  <c r="F100" i="193" a="1"/>
  <c r="F95" i="197" l="1"/>
  <c r="F95" i="213"/>
  <c r="F95" i="217"/>
  <c r="F95" i="195"/>
  <c r="F95" i="219"/>
  <c r="F95" i="202"/>
  <c r="F96" i="177"/>
  <c r="F96" i="175"/>
  <c r="F95" i="215"/>
  <c r="F95" i="196"/>
  <c r="F91" i="177"/>
  <c r="F95" i="210"/>
  <c r="B105" i="219"/>
  <c r="D100" i="219"/>
  <c r="C100" i="219"/>
  <c r="B105" i="217"/>
  <c r="D100" i="217"/>
  <c r="C100" i="217"/>
  <c r="B105" i="215"/>
  <c r="D100" i="215"/>
  <c r="C100" i="215"/>
  <c r="B105" i="213"/>
  <c r="D100" i="213"/>
  <c r="C100" i="213"/>
  <c r="B105" i="210"/>
  <c r="D100" i="210"/>
  <c r="C100" i="210"/>
  <c r="B105" i="202"/>
  <c r="D100" i="202"/>
  <c r="C100" i="202"/>
  <c r="B105" i="197"/>
  <c r="D100" i="197"/>
  <c r="C100" i="197"/>
  <c r="B105" i="196"/>
  <c r="D100" i="196"/>
  <c r="C100" i="196"/>
  <c r="B105" i="195"/>
  <c r="D100" i="195"/>
  <c r="C100" i="195"/>
  <c r="D101" i="177"/>
  <c r="C101" i="177"/>
  <c r="B106" i="177"/>
  <c r="B106" i="175"/>
  <c r="C101" i="175"/>
  <c r="D101" i="175"/>
  <c r="F100" i="220"/>
  <c r="C105" i="220"/>
  <c r="B110" i="220"/>
  <c r="D105" i="220"/>
  <c r="F105" i="218"/>
  <c r="B115" i="218"/>
  <c r="D110" i="218"/>
  <c r="C110" i="218"/>
  <c r="F105" i="216"/>
  <c r="B115" i="216"/>
  <c r="D110" i="216"/>
  <c r="C110" i="216"/>
  <c r="F100" i="214"/>
  <c r="C105" i="214"/>
  <c r="D105" i="214"/>
  <c r="B110" i="214"/>
  <c r="F105" i="212"/>
  <c r="B115" i="212"/>
  <c r="D110" i="212"/>
  <c r="C110" i="212"/>
  <c r="F100" i="211"/>
  <c r="C105" i="211"/>
  <c r="B110" i="211"/>
  <c r="D105" i="211"/>
  <c r="F100" i="209"/>
  <c r="C105" i="209"/>
  <c r="B110" i="209"/>
  <c r="D105" i="209"/>
  <c r="F105" i="208"/>
  <c r="B115" i="208"/>
  <c r="D110" i="208"/>
  <c r="C110" i="208"/>
  <c r="F100" i="207"/>
  <c r="C105" i="207"/>
  <c r="B110" i="207"/>
  <c r="D105" i="207"/>
  <c r="F105" i="206"/>
  <c r="B115" i="206"/>
  <c r="D110" i="206"/>
  <c r="C110" i="206"/>
  <c r="F100" i="205"/>
  <c r="C105" i="205"/>
  <c r="D105" i="205"/>
  <c r="B110" i="205"/>
  <c r="F105" i="204"/>
  <c r="B115" i="204"/>
  <c r="D110" i="204"/>
  <c r="C110" i="204"/>
  <c r="F105" i="203"/>
  <c r="B115" i="203"/>
  <c r="D110" i="203"/>
  <c r="C110" i="203"/>
  <c r="F105" i="201"/>
  <c r="B115" i="201"/>
  <c r="D110" i="201"/>
  <c r="C110" i="201"/>
  <c r="F105" i="200"/>
  <c r="B115" i="200"/>
  <c r="D110" i="200"/>
  <c r="C110" i="200"/>
  <c r="F105" i="199"/>
  <c r="B115" i="199"/>
  <c r="D110" i="199"/>
  <c r="C110" i="199"/>
  <c r="F105" i="198"/>
  <c r="B115" i="198"/>
  <c r="D110" i="198"/>
  <c r="C110" i="198"/>
  <c r="F105" i="194"/>
  <c r="B115" i="194"/>
  <c r="D110" i="194"/>
  <c r="C110" i="194"/>
  <c r="F100" i="193"/>
  <c r="C105" i="193"/>
  <c r="B110" i="193"/>
  <c r="D105" i="193"/>
  <c r="F100" i="192"/>
  <c r="C105" i="192"/>
  <c r="B110" i="192"/>
  <c r="D105" i="192"/>
  <c r="F105" i="191"/>
  <c r="B115" i="191"/>
  <c r="D110" i="191"/>
  <c r="C110" i="191"/>
  <c r="F105" i="190"/>
  <c r="B115" i="190"/>
  <c r="D110" i="190"/>
  <c r="C110" i="190"/>
  <c r="F100" i="189"/>
  <c r="C105" i="189"/>
  <c r="D105" i="189"/>
  <c r="B110" i="189"/>
  <c r="F100" i="188"/>
  <c r="C105" i="188"/>
  <c r="D105" i="188"/>
  <c r="B110" i="188"/>
  <c r="F100" i="187"/>
  <c r="C105" i="187"/>
  <c r="B110" i="187"/>
  <c r="D105" i="187"/>
  <c r="F105" i="186"/>
  <c r="B115" i="186"/>
  <c r="D110" i="186"/>
  <c r="C110" i="186"/>
  <c r="F100" i="185"/>
  <c r="C105" i="185"/>
  <c r="B110" i="185"/>
  <c r="D105" i="185"/>
  <c r="F100" i="184"/>
  <c r="C105" i="184"/>
  <c r="B110" i="184"/>
  <c r="D105" i="184"/>
  <c r="F105" i="183"/>
  <c r="B115" i="183"/>
  <c r="D110" i="183"/>
  <c r="C110" i="183"/>
  <c r="F105" i="182"/>
  <c r="B115" i="182"/>
  <c r="D110" i="182"/>
  <c r="C110" i="182"/>
  <c r="F100" i="181"/>
  <c r="C105" i="181"/>
  <c r="D105" i="181"/>
  <c r="B110" i="181"/>
  <c r="F100" i="180"/>
  <c r="C105" i="180"/>
  <c r="B110" i="180"/>
  <c r="D105" i="180"/>
  <c r="F106" i="179"/>
  <c r="B116" i="179"/>
  <c r="D111" i="179"/>
  <c r="C111" i="179"/>
  <c r="F106" i="178"/>
  <c r="B116" i="178"/>
  <c r="D111" i="178"/>
  <c r="C111" i="178"/>
  <c r="F100" i="176"/>
  <c r="C105" i="176"/>
  <c r="B110" i="176"/>
  <c r="D105" i="176"/>
  <c r="F106" i="174"/>
  <c r="B116" i="174"/>
  <c r="D111" i="174"/>
  <c r="C111" i="174"/>
  <c r="F106" i="173"/>
  <c r="B116" i="173"/>
  <c r="D111" i="173"/>
  <c r="C111" i="173"/>
  <c r="F109" i="172"/>
  <c r="B119" i="172"/>
  <c r="D114" i="172"/>
  <c r="C114" i="172"/>
  <c r="F108" i="171"/>
  <c r="B118" i="171"/>
  <c r="D113" i="171"/>
  <c r="C113" i="171"/>
  <c r="C21" i="39"/>
  <c r="E19" i="39"/>
  <c r="L19" i="39" s="1"/>
  <c r="F18" i="39"/>
  <c r="G18" i="39" s="1"/>
  <c r="D20" i="39"/>
  <c r="A23" i="39"/>
  <c r="K23" i="39" s="1"/>
  <c r="J23" i="39" s="1"/>
  <c r="B22" i="39"/>
  <c r="K22" i="39" s="1"/>
  <c r="J22" i="39" s="1"/>
  <c r="F90" i="1"/>
  <c r="B100" i="1"/>
  <c r="C100" i="1" s="1"/>
  <c r="D95" i="1"/>
  <c r="F100" i="197" a="1"/>
  <c r="F101" i="177" a="1"/>
  <c r="F111" i="174" a="1"/>
  <c r="F110" i="183" a="1"/>
  <c r="F100" i="217" a="1"/>
  <c r="F110" i="186" a="1"/>
  <c r="F105" i="184" a="1"/>
  <c r="F110" i="203" a="1"/>
  <c r="F105" i="193" a="1"/>
  <c r="F105" i="207" a="1"/>
  <c r="F110" i="198" a="1"/>
  <c r="F110" i="200" a="1"/>
  <c r="F105" i="188" a="1"/>
  <c r="F100" i="210" a="1"/>
  <c r="F105" i="205" a="1"/>
  <c r="F110" i="191" a="1"/>
  <c r="F105" i="181" a="1"/>
  <c r="F110" i="218" a="1"/>
  <c r="F105" i="180" a="1"/>
  <c r="F110" i="212" a="1"/>
  <c r="F105" i="176" a="1"/>
  <c r="F110" i="190" a="1"/>
  <c r="F111" i="173" a="1"/>
  <c r="F110" i="216" a="1"/>
  <c r="F111" i="179" a="1"/>
  <c r="F105" i="211" a="1"/>
  <c r="F100" i="196" a="1"/>
  <c r="F110" i="206" a="1"/>
  <c r="F110" i="194" a="1"/>
  <c r="F95" i="1" a="1"/>
  <c r="F105" i="187" a="1"/>
  <c r="F100" i="215" a="1"/>
  <c r="F105" i="185" a="1"/>
  <c r="F110" i="204" a="1"/>
  <c r="F105" i="220" a="1"/>
  <c r="F105" i="209" a="1"/>
  <c r="F105" i="189" a="1"/>
  <c r="F100" i="202" a="1"/>
  <c r="F110" i="208" a="1"/>
  <c r="F110" i="199" a="1"/>
  <c r="F100" i="219" a="1"/>
  <c r="F100" i="195" a="1"/>
  <c r="F113" i="171" a="1"/>
  <c r="F110" i="182" a="1"/>
  <c r="F110" i="201" a="1"/>
  <c r="F114" i="172" a="1"/>
  <c r="F105" i="192" a="1"/>
  <c r="F100" i="213" a="1"/>
  <c r="F105" i="214" a="1"/>
  <c r="F111" i="178" a="1"/>
  <c r="F100" i="213" l="1"/>
  <c r="F100" i="195"/>
  <c r="F100" i="219"/>
  <c r="F100" i="202"/>
  <c r="F100" i="215"/>
  <c r="F100" i="196"/>
  <c r="F100" i="210"/>
  <c r="F100" i="217"/>
  <c r="F101" i="177"/>
  <c r="F100" i="197"/>
  <c r="C105" i="219"/>
  <c r="B110" i="219"/>
  <c r="D105" i="219"/>
  <c r="C105" i="217"/>
  <c r="B110" i="217"/>
  <c r="D105" i="217"/>
  <c r="C105" i="215"/>
  <c r="B110" i="215"/>
  <c r="D105" i="215"/>
  <c r="C105" i="213"/>
  <c r="B110" i="213"/>
  <c r="D105" i="213"/>
  <c r="C105" i="210"/>
  <c r="B110" i="210"/>
  <c r="D105" i="210"/>
  <c r="C105" i="202"/>
  <c r="B110" i="202"/>
  <c r="D105" i="202"/>
  <c r="C105" i="197"/>
  <c r="B110" i="197"/>
  <c r="D105" i="197"/>
  <c r="C105" i="196"/>
  <c r="B110" i="196"/>
  <c r="D105" i="196"/>
  <c r="C105" i="195"/>
  <c r="B110" i="195"/>
  <c r="D105" i="195"/>
  <c r="C106" i="177"/>
  <c r="B111" i="177"/>
  <c r="D106" i="177"/>
  <c r="C106" i="175"/>
  <c r="B111" i="175"/>
  <c r="D106" i="175"/>
  <c r="F105" i="220"/>
  <c r="B115" i="220"/>
  <c r="D110" i="220"/>
  <c r="C110" i="220"/>
  <c r="F110" i="218"/>
  <c r="D115" i="218"/>
  <c r="C115" i="218"/>
  <c r="B120" i="218"/>
  <c r="F110" i="216"/>
  <c r="D115" i="216"/>
  <c r="C115" i="216"/>
  <c r="B120" i="216"/>
  <c r="F105" i="214"/>
  <c r="B115" i="214"/>
  <c r="D110" i="214"/>
  <c r="C110" i="214"/>
  <c r="F110" i="212"/>
  <c r="D115" i="212"/>
  <c r="C115" i="212"/>
  <c r="B120" i="212"/>
  <c r="F105" i="211"/>
  <c r="B115" i="211"/>
  <c r="D110" i="211"/>
  <c r="C110" i="211"/>
  <c r="F105" i="209"/>
  <c r="B115" i="209"/>
  <c r="D110" i="209"/>
  <c r="C110" i="209"/>
  <c r="F110" i="208"/>
  <c r="D115" i="208"/>
  <c r="C115" i="208"/>
  <c r="B120" i="208"/>
  <c r="F105" i="207"/>
  <c r="B115" i="207"/>
  <c r="D110" i="207"/>
  <c r="C110" i="207"/>
  <c r="F110" i="206"/>
  <c r="D115" i="206"/>
  <c r="C115" i="206"/>
  <c r="B120" i="206"/>
  <c r="F105" i="205"/>
  <c r="B115" i="205"/>
  <c r="D110" i="205"/>
  <c r="C110" i="205"/>
  <c r="F110" i="204"/>
  <c r="D115" i="204"/>
  <c r="C115" i="204"/>
  <c r="B120" i="204"/>
  <c r="F110" i="203"/>
  <c r="D115" i="203"/>
  <c r="C115" i="203"/>
  <c r="B120" i="203"/>
  <c r="F110" i="201"/>
  <c r="D115" i="201"/>
  <c r="C115" i="201"/>
  <c r="B120" i="201"/>
  <c r="F110" i="200"/>
  <c r="D115" i="200"/>
  <c r="C115" i="200"/>
  <c r="B120" i="200"/>
  <c r="F110" i="199"/>
  <c r="D115" i="199"/>
  <c r="C115" i="199"/>
  <c r="B120" i="199"/>
  <c r="F110" i="198"/>
  <c r="D115" i="198"/>
  <c r="C115" i="198"/>
  <c r="B120" i="198"/>
  <c r="F110" i="194"/>
  <c r="D115" i="194"/>
  <c r="C115" i="194"/>
  <c r="B120" i="194"/>
  <c r="F105" i="193"/>
  <c r="B115" i="193"/>
  <c r="D110" i="193"/>
  <c r="C110" i="193"/>
  <c r="F105" i="192"/>
  <c r="B115" i="192"/>
  <c r="D110" i="192"/>
  <c r="C110" i="192"/>
  <c r="F110" i="191"/>
  <c r="D115" i="191"/>
  <c r="C115" i="191"/>
  <c r="B120" i="191"/>
  <c r="F110" i="190"/>
  <c r="D115" i="190"/>
  <c r="C115" i="190"/>
  <c r="B120" i="190"/>
  <c r="F105" i="189"/>
  <c r="B115" i="189"/>
  <c r="D110" i="189"/>
  <c r="C110" i="189"/>
  <c r="F105" i="188"/>
  <c r="B115" i="188"/>
  <c r="D110" i="188"/>
  <c r="C110" i="188"/>
  <c r="F105" i="187"/>
  <c r="B115" i="187"/>
  <c r="D110" i="187"/>
  <c r="C110" i="187"/>
  <c r="F110" i="186"/>
  <c r="D115" i="186"/>
  <c r="C115" i="186"/>
  <c r="B120" i="186"/>
  <c r="F105" i="185"/>
  <c r="B115" i="185"/>
  <c r="D110" i="185"/>
  <c r="C110" i="185"/>
  <c r="F105" i="184"/>
  <c r="B115" i="184"/>
  <c r="D110" i="184"/>
  <c r="C110" i="184"/>
  <c r="F110" i="183"/>
  <c r="D115" i="183"/>
  <c r="C115" i="183"/>
  <c r="B120" i="183"/>
  <c r="F110" i="182"/>
  <c r="D115" i="182"/>
  <c r="C115" i="182"/>
  <c r="B120" i="182"/>
  <c r="F105" i="181"/>
  <c r="B115" i="181"/>
  <c r="D110" i="181"/>
  <c r="C110" i="181"/>
  <c r="F105" i="180"/>
  <c r="B115" i="180"/>
  <c r="D110" i="180"/>
  <c r="C110" i="180"/>
  <c r="F111" i="179"/>
  <c r="D116" i="179"/>
  <c r="C116" i="179"/>
  <c r="B122" i="179"/>
  <c r="F111" i="178"/>
  <c r="D116" i="178"/>
  <c r="C116" i="178"/>
  <c r="B122" i="178"/>
  <c r="F105" i="176"/>
  <c r="B115" i="176"/>
  <c r="D110" i="176"/>
  <c r="C110" i="176"/>
  <c r="F111" i="174"/>
  <c r="D116" i="174"/>
  <c r="C116" i="174"/>
  <c r="B122" i="174"/>
  <c r="F111" i="173"/>
  <c r="D116" i="173"/>
  <c r="C116" i="173"/>
  <c r="B122" i="173"/>
  <c r="F114" i="172"/>
  <c r="D119" i="172"/>
  <c r="C119" i="172"/>
  <c r="B125" i="172"/>
  <c r="F113" i="171"/>
  <c r="D118" i="171"/>
  <c r="C118" i="171"/>
  <c r="B124" i="171"/>
  <c r="C22" i="39"/>
  <c r="E20" i="39"/>
  <c r="L20" i="39" s="1"/>
  <c r="F19" i="39"/>
  <c r="G19" i="39" s="1"/>
  <c r="D21" i="39"/>
  <c r="A24" i="39"/>
  <c r="K24" i="39" s="1"/>
  <c r="J24" i="39" s="1"/>
  <c r="B23" i="39"/>
  <c r="F95" i="1"/>
  <c r="D100" i="1"/>
  <c r="B105" i="1"/>
  <c r="C105" i="1" s="1"/>
  <c r="F115" i="218" a="1"/>
  <c r="F115" i="194" a="1"/>
  <c r="F100" i="1" a="1"/>
  <c r="F110" i="176" a="1"/>
  <c r="F110" i="187" a="1"/>
  <c r="F110" i="211" a="1"/>
  <c r="F115" i="190" a="1"/>
  <c r="F110" i="189" a="1"/>
  <c r="F110" i="185" a="1"/>
  <c r="F115" i="204" a="1"/>
  <c r="F116" i="179" a="1"/>
  <c r="F115" i="183" a="1"/>
  <c r="F115" i="186" a="1"/>
  <c r="F116" i="178" a="1"/>
  <c r="F110" i="180" a="1"/>
  <c r="F115" i="198" a="1"/>
  <c r="F115" i="191" a="1"/>
  <c r="F110" i="214" a="1"/>
  <c r="F116" i="174" a="1"/>
  <c r="F110" i="184" a="1"/>
  <c r="F115" i="182" a="1"/>
  <c r="F115" i="206" a="1"/>
  <c r="F110" i="207" a="1"/>
  <c r="F110" i="205" a="1"/>
  <c r="F110" i="192" a="1"/>
  <c r="F115" i="208" a="1"/>
  <c r="F116" i="173" a="1"/>
  <c r="F115" i="199" a="1"/>
  <c r="F115" i="212" a="1"/>
  <c r="F118" i="171" a="1"/>
  <c r="F110" i="209" a="1"/>
  <c r="F115" i="201" a="1"/>
  <c r="F115" i="216" a="1"/>
  <c r="F119" i="172" a="1"/>
  <c r="F110" i="193" a="1"/>
  <c r="F115" i="203" a="1"/>
  <c r="F110" i="220" a="1"/>
  <c r="F110" i="188" a="1"/>
  <c r="F110" i="181" a="1"/>
  <c r="F101" i="175" a="1"/>
  <c r="F115" i="200" a="1"/>
  <c r="F101" i="175" l="1"/>
  <c r="B115" i="219"/>
  <c r="D110" i="219"/>
  <c r="C110" i="219"/>
  <c r="B115" i="217"/>
  <c r="D110" i="217"/>
  <c r="C110" i="217"/>
  <c r="B115" i="215"/>
  <c r="D110" i="215"/>
  <c r="C110" i="215"/>
  <c r="B115" i="213"/>
  <c r="D110" i="213"/>
  <c r="C110" i="213"/>
  <c r="B115" i="210"/>
  <c r="D110" i="210"/>
  <c r="C110" i="210"/>
  <c r="B115" i="202"/>
  <c r="D110" i="202"/>
  <c r="C110" i="202"/>
  <c r="B115" i="197"/>
  <c r="D110" i="197"/>
  <c r="C110" i="197"/>
  <c r="B115" i="196"/>
  <c r="D110" i="196"/>
  <c r="C110" i="196"/>
  <c r="B115" i="195"/>
  <c r="D110" i="195"/>
  <c r="C110" i="195"/>
  <c r="B116" i="177"/>
  <c r="D111" i="177"/>
  <c r="C111" i="177"/>
  <c r="B116" i="175"/>
  <c r="D111" i="175"/>
  <c r="C111" i="175"/>
  <c r="F110" i="220"/>
  <c r="D115" i="220"/>
  <c r="C115" i="220"/>
  <c r="B120" i="220"/>
  <c r="F115" i="218"/>
  <c r="B125" i="218"/>
  <c r="D120" i="218"/>
  <c r="C120" i="218"/>
  <c r="F115" i="216"/>
  <c r="B125" i="216"/>
  <c r="D120" i="216"/>
  <c r="C120" i="216"/>
  <c r="F110" i="214"/>
  <c r="D115" i="214"/>
  <c r="C115" i="214"/>
  <c r="B120" i="214"/>
  <c r="F115" i="212"/>
  <c r="B125" i="212"/>
  <c r="D120" i="212"/>
  <c r="C120" i="212"/>
  <c r="F110" i="211"/>
  <c r="D115" i="211"/>
  <c r="C115" i="211"/>
  <c r="B120" i="211"/>
  <c r="F110" i="209"/>
  <c r="D115" i="209"/>
  <c r="C115" i="209"/>
  <c r="B120" i="209"/>
  <c r="F115" i="208"/>
  <c r="B125" i="208"/>
  <c r="D120" i="208"/>
  <c r="C120" i="208"/>
  <c r="F110" i="207"/>
  <c r="D115" i="207"/>
  <c r="C115" i="207"/>
  <c r="B120" i="207"/>
  <c r="F115" i="206"/>
  <c r="B125" i="206"/>
  <c r="D120" i="206"/>
  <c r="C120" i="206"/>
  <c r="F110" i="205"/>
  <c r="D115" i="205"/>
  <c r="C115" i="205"/>
  <c r="B120" i="205"/>
  <c r="F115" i="204"/>
  <c r="B125" i="204"/>
  <c r="D120" i="204"/>
  <c r="C120" i="204"/>
  <c r="F115" i="203"/>
  <c r="B125" i="203"/>
  <c r="D120" i="203"/>
  <c r="C120" i="203"/>
  <c r="F115" i="201"/>
  <c r="B125" i="201"/>
  <c r="D120" i="201"/>
  <c r="C120" i="201"/>
  <c r="F115" i="200"/>
  <c r="B125" i="200"/>
  <c r="D120" i="200"/>
  <c r="C120" i="200"/>
  <c r="F115" i="199"/>
  <c r="B125" i="199"/>
  <c r="D120" i="199"/>
  <c r="C120" i="199"/>
  <c r="F115" i="198"/>
  <c r="B125" i="198"/>
  <c r="D120" i="198"/>
  <c r="C120" i="198"/>
  <c r="F115" i="194"/>
  <c r="B125" i="194"/>
  <c r="D120" i="194"/>
  <c r="C120" i="194"/>
  <c r="F110" i="193"/>
  <c r="D115" i="193"/>
  <c r="C115" i="193"/>
  <c r="B120" i="193"/>
  <c r="F110" i="192"/>
  <c r="D115" i="192"/>
  <c r="C115" i="192"/>
  <c r="B120" i="192"/>
  <c r="F115" i="191"/>
  <c r="B125" i="191"/>
  <c r="D120" i="191"/>
  <c r="C120" i="191"/>
  <c r="F115" i="190"/>
  <c r="B125" i="190"/>
  <c r="D120" i="190"/>
  <c r="C120" i="190"/>
  <c r="F110" i="189"/>
  <c r="D115" i="189"/>
  <c r="C115" i="189"/>
  <c r="B120" i="189"/>
  <c r="F110" i="188"/>
  <c r="D115" i="188"/>
  <c r="C115" i="188"/>
  <c r="B120" i="188"/>
  <c r="F110" i="187"/>
  <c r="D115" i="187"/>
  <c r="C115" i="187"/>
  <c r="B120" i="187"/>
  <c r="F115" i="186"/>
  <c r="B125" i="186"/>
  <c r="D120" i="186"/>
  <c r="C120" i="186"/>
  <c r="F110" i="185"/>
  <c r="D115" i="185"/>
  <c r="C115" i="185"/>
  <c r="B120" i="185"/>
  <c r="F110" i="184"/>
  <c r="D115" i="184"/>
  <c r="C115" i="184"/>
  <c r="B120" i="184"/>
  <c r="F115" i="183"/>
  <c r="B125" i="183"/>
  <c r="D120" i="183"/>
  <c r="C120" i="183"/>
  <c r="F115" i="182"/>
  <c r="B125" i="182"/>
  <c r="D120" i="182"/>
  <c r="C120" i="182"/>
  <c r="F110" i="181"/>
  <c r="D115" i="181"/>
  <c r="C115" i="181"/>
  <c r="B120" i="181"/>
  <c r="F110" i="180"/>
  <c r="D115" i="180"/>
  <c r="C115" i="180"/>
  <c r="B120" i="180"/>
  <c r="F116" i="179"/>
  <c r="B127" i="179"/>
  <c r="D122" i="179"/>
  <c r="C122" i="179"/>
  <c r="F116" i="178"/>
  <c r="B127" i="178"/>
  <c r="D122" i="178"/>
  <c r="C122" i="178"/>
  <c r="F110" i="176"/>
  <c r="D115" i="176"/>
  <c r="C115" i="176"/>
  <c r="B121" i="176"/>
  <c r="F116" i="174"/>
  <c r="B127" i="174"/>
  <c r="D122" i="174"/>
  <c r="C122" i="174"/>
  <c r="F116" i="173"/>
  <c r="B127" i="173"/>
  <c r="D122" i="173"/>
  <c r="C122" i="173"/>
  <c r="F119" i="172"/>
  <c r="B130" i="172"/>
  <c r="D125" i="172"/>
  <c r="C125" i="172"/>
  <c r="F118" i="171"/>
  <c r="B129" i="171"/>
  <c r="D124" i="171"/>
  <c r="C124" i="171"/>
  <c r="C23" i="39"/>
  <c r="E21" i="39"/>
  <c r="L21" i="39" s="1"/>
  <c r="F20" i="39"/>
  <c r="G20" i="39" s="1"/>
  <c r="D22" i="39"/>
  <c r="A25" i="39"/>
  <c r="K25" i="39" s="1"/>
  <c r="J25" i="39" s="1"/>
  <c r="B24" i="39"/>
  <c r="F100" i="1"/>
  <c r="B110" i="1"/>
  <c r="C110" i="1" s="1"/>
  <c r="D105" i="1"/>
  <c r="F115" i="214" a="1"/>
  <c r="F115" i="180" a="1"/>
  <c r="F122" i="173" a="1"/>
  <c r="F120" i="190" a="1"/>
  <c r="F105" i="1" a="1"/>
  <c r="F120" i="199" a="1"/>
  <c r="F115" i="185" a="1"/>
  <c r="F110" i="219" a="1"/>
  <c r="F110" i="215" a="1"/>
  <c r="F110" i="210" a="1"/>
  <c r="F110" i="197" a="1"/>
  <c r="F110" i="195" a="1"/>
  <c r="F111" i="175" a="1"/>
  <c r="F115" i="192" a="1"/>
  <c r="F122" i="174" a="1"/>
  <c r="F125" i="172" a="1"/>
  <c r="F115" i="220" a="1"/>
  <c r="F120" i="203" a="1"/>
  <c r="F105" i="219" a="1"/>
  <c r="F105" i="215" a="1"/>
  <c r="F105" i="210" a="1"/>
  <c r="F105" i="197" a="1"/>
  <c r="F105" i="195" a="1"/>
  <c r="F106" i="175" a="1"/>
  <c r="F115" i="188" a="1"/>
  <c r="F124" i="171" a="1"/>
  <c r="F120" i="200" a="1"/>
  <c r="F115" i="184" a="1"/>
  <c r="F115" i="189" a="1"/>
  <c r="F120" i="186" a="1"/>
  <c r="F122" i="179" a="1"/>
  <c r="F105" i="217" a="1"/>
  <c r="F105" i="202" a="1"/>
  <c r="F106" i="177" a="1"/>
  <c r="F120" i="182" a="1"/>
  <c r="F115" i="187" a="1"/>
  <c r="F122" i="178" a="1"/>
  <c r="F120" i="212" a="1"/>
  <c r="F120" i="218" a="1"/>
  <c r="F115" i="209" a="1"/>
  <c r="F105" i="213" a="1"/>
  <c r="F115" i="193" a="1"/>
  <c r="F115" i="176" a="1"/>
  <c r="F120" i="208" a="1"/>
  <c r="F115" i="211" a="1"/>
  <c r="F120" i="216" a="1"/>
  <c r="F120" i="204" a="1"/>
  <c r="F120" i="183" a="1"/>
  <c r="F110" i="217" a="1"/>
  <c r="F110" i="213" a="1"/>
  <c r="F110" i="202" a="1"/>
  <c r="F110" i="196" a="1"/>
  <c r="F111" i="177" a="1"/>
  <c r="F120" i="206" a="1"/>
  <c r="F120" i="194" a="1"/>
  <c r="F120" i="191" a="1"/>
  <c r="F115" i="205" a="1"/>
  <c r="F120" i="198" a="1"/>
  <c r="F105" i="196" a="1"/>
  <c r="F115" i="181" a="1"/>
  <c r="F115" i="207" a="1"/>
  <c r="F120" i="201" a="1"/>
  <c r="F105" i="196" l="1"/>
  <c r="F111" i="177"/>
  <c r="F110" i="196"/>
  <c r="F110" i="202"/>
  <c r="F110" i="213"/>
  <c r="F110" i="217"/>
  <c r="F105" i="213"/>
  <c r="F106" i="177"/>
  <c r="F105" i="202"/>
  <c r="F105" i="217"/>
  <c r="F106" i="175"/>
  <c r="F105" i="195"/>
  <c r="F105" i="197"/>
  <c r="F105" i="210"/>
  <c r="F105" i="215"/>
  <c r="F105" i="219"/>
  <c r="F111" i="175"/>
  <c r="F110" i="195"/>
  <c r="F110" i="197"/>
  <c r="F110" i="210"/>
  <c r="F110" i="215"/>
  <c r="F110" i="219"/>
  <c r="D115" i="219"/>
  <c r="C115" i="219"/>
  <c r="B120" i="219"/>
  <c r="C115" i="217"/>
  <c r="D115" i="217"/>
  <c r="B120" i="217"/>
  <c r="D115" i="215"/>
  <c r="C115" i="215"/>
  <c r="B120" i="215"/>
  <c r="D115" i="213"/>
  <c r="C115" i="213"/>
  <c r="B120" i="213"/>
  <c r="D115" i="210"/>
  <c r="C115" i="210"/>
  <c r="B120" i="210"/>
  <c r="D115" i="202"/>
  <c r="C115" i="202"/>
  <c r="B120" i="202"/>
  <c r="D115" i="197"/>
  <c r="C115" i="197"/>
  <c r="B120" i="197"/>
  <c r="D115" i="196"/>
  <c r="C115" i="196"/>
  <c r="B120" i="196"/>
  <c r="D115" i="195"/>
  <c r="C115" i="195"/>
  <c r="B120" i="195"/>
  <c r="B122" i="177"/>
  <c r="D116" i="177"/>
  <c r="C116" i="177"/>
  <c r="D116" i="175"/>
  <c r="C116" i="175"/>
  <c r="B122" i="175"/>
  <c r="F115" i="220"/>
  <c r="B125" i="220"/>
  <c r="D120" i="220"/>
  <c r="C120" i="220"/>
  <c r="F120" i="218"/>
  <c r="B130" i="218"/>
  <c r="D125" i="218"/>
  <c r="C125" i="218"/>
  <c r="F120" i="216"/>
  <c r="B130" i="216"/>
  <c r="D125" i="216"/>
  <c r="C125" i="216"/>
  <c r="F115" i="214"/>
  <c r="B125" i="214"/>
  <c r="D120" i="214"/>
  <c r="C120" i="214"/>
  <c r="F120" i="212"/>
  <c r="B130" i="212"/>
  <c r="D125" i="212"/>
  <c r="C125" i="212"/>
  <c r="F115" i="211"/>
  <c r="B125" i="211"/>
  <c r="D120" i="211"/>
  <c r="C120" i="211"/>
  <c r="F115" i="209"/>
  <c r="B125" i="209"/>
  <c r="D120" i="209"/>
  <c r="C120" i="209"/>
  <c r="F120" i="208"/>
  <c r="B130" i="208"/>
  <c r="D125" i="208"/>
  <c r="C125" i="208"/>
  <c r="F115" i="207"/>
  <c r="B125" i="207"/>
  <c r="D120" i="207"/>
  <c r="C120" i="207"/>
  <c r="F120" i="206"/>
  <c r="B130" i="206"/>
  <c r="D125" i="206"/>
  <c r="C125" i="206"/>
  <c r="F115" i="205"/>
  <c r="B125" i="205"/>
  <c r="D120" i="205"/>
  <c r="C120" i="205"/>
  <c r="F120" i="204"/>
  <c r="B130" i="204"/>
  <c r="D125" i="204"/>
  <c r="C125" i="204"/>
  <c r="F120" i="203"/>
  <c r="B130" i="203"/>
  <c r="D125" i="203"/>
  <c r="C125" i="203"/>
  <c r="F120" i="201"/>
  <c r="B130" i="201"/>
  <c r="D125" i="201"/>
  <c r="C125" i="201"/>
  <c r="F120" i="200"/>
  <c r="B130" i="200"/>
  <c r="D125" i="200"/>
  <c r="C125" i="200"/>
  <c r="F120" i="199"/>
  <c r="B130" i="199"/>
  <c r="D125" i="199"/>
  <c r="C125" i="199"/>
  <c r="F120" i="198"/>
  <c r="B130" i="198"/>
  <c r="D125" i="198"/>
  <c r="C125" i="198"/>
  <c r="F120" i="194"/>
  <c r="B130" i="194"/>
  <c r="D125" i="194"/>
  <c r="C125" i="194"/>
  <c r="F115" i="193"/>
  <c r="C120" i="193"/>
  <c r="B125" i="193"/>
  <c r="D120" i="193"/>
  <c r="F115" i="192"/>
  <c r="B125" i="192"/>
  <c r="D120" i="192"/>
  <c r="C120" i="192"/>
  <c r="F120" i="191"/>
  <c r="B130" i="191"/>
  <c r="D125" i="191"/>
  <c r="C125" i="191"/>
  <c r="F120" i="190"/>
  <c r="B130" i="190"/>
  <c r="D125" i="190"/>
  <c r="C125" i="190"/>
  <c r="F115" i="189"/>
  <c r="B125" i="189"/>
  <c r="D120" i="189"/>
  <c r="C120" i="189"/>
  <c r="F115" i="188"/>
  <c r="B125" i="188"/>
  <c r="D120" i="188"/>
  <c r="C120" i="188"/>
  <c r="F115" i="187"/>
  <c r="B125" i="187"/>
  <c r="D120" i="187"/>
  <c r="C120" i="187"/>
  <c r="F120" i="186"/>
  <c r="B130" i="186"/>
  <c r="D125" i="186"/>
  <c r="C125" i="186"/>
  <c r="F115" i="185"/>
  <c r="B125" i="185"/>
  <c r="D120" i="185"/>
  <c r="C120" i="185"/>
  <c r="F115" i="184"/>
  <c r="B125" i="184"/>
  <c r="D120" i="184"/>
  <c r="C120" i="184"/>
  <c r="F120" i="183"/>
  <c r="B130" i="183"/>
  <c r="D125" i="183"/>
  <c r="C125" i="183"/>
  <c r="F120" i="182"/>
  <c r="B130" i="182"/>
  <c r="D125" i="182"/>
  <c r="C125" i="182"/>
  <c r="F115" i="181"/>
  <c r="B125" i="181"/>
  <c r="D120" i="181"/>
  <c r="C120" i="181"/>
  <c r="F115" i="180"/>
  <c r="B125" i="180"/>
  <c r="D120" i="180"/>
  <c r="C120" i="180"/>
  <c r="F122" i="179"/>
  <c r="B132" i="179"/>
  <c r="D127" i="179"/>
  <c r="C127" i="179"/>
  <c r="F122" i="178"/>
  <c r="B132" i="178"/>
  <c r="D127" i="178"/>
  <c r="C127" i="178"/>
  <c r="F115" i="176"/>
  <c r="B126" i="176"/>
  <c r="D121" i="176"/>
  <c r="C121" i="176"/>
  <c r="F122" i="174"/>
  <c r="B132" i="174"/>
  <c r="D127" i="174"/>
  <c r="C127" i="174"/>
  <c r="F122" i="173"/>
  <c r="B132" i="173"/>
  <c r="D127" i="173"/>
  <c r="C127" i="173"/>
  <c r="F125" i="172"/>
  <c r="B135" i="172"/>
  <c r="D130" i="172"/>
  <c r="C130" i="172"/>
  <c r="F124" i="171"/>
  <c r="B134" i="171"/>
  <c r="D129" i="171"/>
  <c r="C129" i="171"/>
  <c r="C24" i="39"/>
  <c r="E22" i="39"/>
  <c r="L22" i="39" s="1"/>
  <c r="F21" i="39"/>
  <c r="G21" i="39" s="1"/>
  <c r="D23" i="39"/>
  <c r="A26" i="39"/>
  <c r="K26" i="39" s="1"/>
  <c r="J26" i="39" s="1"/>
  <c r="B25" i="39"/>
  <c r="F105" i="1"/>
  <c r="D110" i="1"/>
  <c r="B115" i="1"/>
  <c r="C115" i="1" s="1"/>
  <c r="F115" i="197" a="1"/>
  <c r="F127" i="173" a="1"/>
  <c r="F120" i="180" a="1"/>
  <c r="F120" i="192" a="1"/>
  <c r="F125" i="194" a="1"/>
  <c r="F115" i="210" a="1"/>
  <c r="F116" i="177" a="1"/>
  <c r="F125" i="191" a="1"/>
  <c r="F120" i="193" a="1"/>
  <c r="F121" i="176" a="1"/>
  <c r="F125" i="190" a="1"/>
  <c r="F120" i="187" a="1"/>
  <c r="F115" i="196" a="1"/>
  <c r="F125" i="200" a="1"/>
  <c r="F125" i="198" a="1"/>
  <c r="F120" i="185" a="1"/>
  <c r="F120" i="189" a="1"/>
  <c r="F127" i="174" a="1"/>
  <c r="F125" i="199" a="1"/>
  <c r="F120" i="181" a="1"/>
  <c r="F120" i="214" a="1"/>
  <c r="F125" i="218" a="1"/>
  <c r="F115" i="213" a="1"/>
  <c r="F125" i="204" a="1"/>
  <c r="F110" i="1" a="1"/>
  <c r="F120" i="207" a="1"/>
  <c r="F127" i="178" a="1"/>
  <c r="F115" i="215" a="1"/>
  <c r="F116" i="175" a="1"/>
  <c r="F125" i="203" a="1"/>
  <c r="F125" i="201" a="1"/>
  <c r="F125" i="208" a="1"/>
  <c r="F120" i="205" a="1"/>
  <c r="F125" i="212" a="1"/>
  <c r="F125" i="183" a="1"/>
  <c r="F115" i="202" a="1"/>
  <c r="F129" i="171" a="1"/>
  <c r="F127" i="179" a="1"/>
  <c r="F130" i="172" a="1"/>
  <c r="F120" i="188" a="1"/>
  <c r="F120" i="209" a="1"/>
  <c r="F115" i="219" a="1"/>
  <c r="F115" i="195" a="1"/>
  <c r="F125" i="182" a="1"/>
  <c r="F125" i="186" a="1"/>
  <c r="F125" i="216" a="1"/>
  <c r="F120" i="220" a="1"/>
  <c r="F120" i="184" a="1"/>
  <c r="F125" i="206" a="1"/>
  <c r="F120" i="211" a="1"/>
  <c r="F115" i="195" l="1"/>
  <c r="F115" i="219"/>
  <c r="F115" i="202"/>
  <c r="F116" i="175"/>
  <c r="F115" i="215"/>
  <c r="F115" i="213"/>
  <c r="F115" i="196"/>
  <c r="F116" i="177"/>
  <c r="F115" i="210"/>
  <c r="F115" i="197"/>
  <c r="B125" i="219"/>
  <c r="D120" i="219"/>
  <c r="C120" i="219"/>
  <c r="B125" i="217"/>
  <c r="D120" i="217"/>
  <c r="C120" i="217"/>
  <c r="B125" i="215"/>
  <c r="D120" i="215"/>
  <c r="C120" i="215"/>
  <c r="B125" i="213"/>
  <c r="D120" i="213"/>
  <c r="C120" i="213"/>
  <c r="B125" i="210"/>
  <c r="D120" i="210"/>
  <c r="C120" i="210"/>
  <c r="B125" i="202"/>
  <c r="D120" i="202"/>
  <c r="C120" i="202"/>
  <c r="B125" i="197"/>
  <c r="D120" i="197"/>
  <c r="C120" i="197"/>
  <c r="B125" i="196"/>
  <c r="D120" i="196"/>
  <c r="C120" i="196"/>
  <c r="B125" i="195"/>
  <c r="D120" i="195"/>
  <c r="C120" i="195"/>
  <c r="B127" i="177"/>
  <c r="D122" i="177"/>
  <c r="C122" i="177"/>
  <c r="B127" i="175"/>
  <c r="D122" i="175"/>
  <c r="C122" i="175"/>
  <c r="F120" i="220"/>
  <c r="B130" i="220"/>
  <c r="D125" i="220"/>
  <c r="C125" i="220"/>
  <c r="F125" i="218"/>
  <c r="B135" i="218"/>
  <c r="D130" i="218"/>
  <c r="C130" i="218"/>
  <c r="F125" i="216"/>
  <c r="C130" i="216"/>
  <c r="B135" i="216"/>
  <c r="D130" i="216"/>
  <c r="F120" i="214"/>
  <c r="B130" i="214"/>
  <c r="D125" i="214"/>
  <c r="C125" i="214"/>
  <c r="F125" i="212"/>
  <c r="B135" i="212"/>
  <c r="D130" i="212"/>
  <c r="C130" i="212"/>
  <c r="F120" i="211"/>
  <c r="B130" i="211"/>
  <c r="D125" i="211"/>
  <c r="C125" i="211"/>
  <c r="F120" i="209"/>
  <c r="B130" i="209"/>
  <c r="D125" i="209"/>
  <c r="C125" i="209"/>
  <c r="F125" i="208"/>
  <c r="B135" i="208"/>
  <c r="D130" i="208"/>
  <c r="C130" i="208"/>
  <c r="F120" i="207"/>
  <c r="B130" i="207"/>
  <c r="D125" i="207"/>
  <c r="C125" i="207"/>
  <c r="F125" i="206"/>
  <c r="B135" i="206"/>
  <c r="D130" i="206"/>
  <c r="C130" i="206"/>
  <c r="F120" i="205"/>
  <c r="B130" i="205"/>
  <c r="D125" i="205"/>
  <c r="C125" i="205"/>
  <c r="F125" i="204"/>
  <c r="B135" i="204"/>
  <c r="D130" i="204"/>
  <c r="C130" i="204"/>
  <c r="F125" i="203"/>
  <c r="B135" i="203"/>
  <c r="D130" i="203"/>
  <c r="C130" i="203"/>
  <c r="F125" i="201"/>
  <c r="B135" i="201"/>
  <c r="D130" i="201"/>
  <c r="C130" i="201"/>
  <c r="F125" i="200"/>
  <c r="B135" i="200"/>
  <c r="D130" i="200"/>
  <c r="C130" i="200"/>
  <c r="F125" i="199"/>
  <c r="B135" i="199"/>
  <c r="D130" i="199"/>
  <c r="C130" i="199"/>
  <c r="F125" i="198"/>
  <c r="B135" i="198"/>
  <c r="D130" i="198"/>
  <c r="C130" i="198"/>
  <c r="F125" i="194"/>
  <c r="B135" i="194"/>
  <c r="D130" i="194"/>
  <c r="C130" i="194"/>
  <c r="F120" i="193"/>
  <c r="B130" i="193"/>
  <c r="D125" i="193"/>
  <c r="C125" i="193"/>
  <c r="F120" i="192"/>
  <c r="B130" i="192"/>
  <c r="D125" i="192"/>
  <c r="C125" i="192"/>
  <c r="F125" i="191"/>
  <c r="B135" i="191"/>
  <c r="D130" i="191"/>
  <c r="C130" i="191"/>
  <c r="F125" i="190"/>
  <c r="C130" i="190"/>
  <c r="B135" i="190"/>
  <c r="D130" i="190"/>
  <c r="F120" i="189"/>
  <c r="B130" i="189"/>
  <c r="D125" i="189"/>
  <c r="C125" i="189"/>
  <c r="F120" i="188"/>
  <c r="B130" i="188"/>
  <c r="D125" i="188"/>
  <c r="C125" i="188"/>
  <c r="F120" i="187"/>
  <c r="B130" i="187"/>
  <c r="D125" i="187"/>
  <c r="C125" i="187"/>
  <c r="F125" i="186"/>
  <c r="B135" i="186"/>
  <c r="C130" i="186"/>
  <c r="D130" i="186"/>
  <c r="F120" i="185"/>
  <c r="B130" i="185"/>
  <c r="D125" i="185"/>
  <c r="C125" i="185"/>
  <c r="F120" i="184"/>
  <c r="B130" i="184"/>
  <c r="D125" i="184"/>
  <c r="C125" i="184"/>
  <c r="F125" i="183"/>
  <c r="C130" i="183"/>
  <c r="B135" i="183"/>
  <c r="D130" i="183"/>
  <c r="F125" i="182"/>
  <c r="C130" i="182"/>
  <c r="B135" i="182"/>
  <c r="D130" i="182"/>
  <c r="F120" i="181"/>
  <c r="B130" i="181"/>
  <c r="D125" i="181"/>
  <c r="C125" i="181"/>
  <c r="F120" i="180"/>
  <c r="B130" i="180"/>
  <c r="D125" i="180"/>
  <c r="C125" i="180"/>
  <c r="F127" i="179"/>
  <c r="C132" i="179"/>
  <c r="B137" i="179"/>
  <c r="D132" i="179"/>
  <c r="F127" i="178"/>
  <c r="C132" i="178"/>
  <c r="B137" i="178"/>
  <c r="D132" i="178"/>
  <c r="F121" i="176"/>
  <c r="B131" i="176"/>
  <c r="D126" i="176"/>
  <c r="C126" i="176"/>
  <c r="F127" i="174"/>
  <c r="C132" i="174"/>
  <c r="D132" i="174"/>
  <c r="B137" i="174"/>
  <c r="F127" i="173"/>
  <c r="B137" i="173"/>
  <c r="D132" i="173"/>
  <c r="C132" i="173"/>
  <c r="F130" i="172"/>
  <c r="B140" i="172"/>
  <c r="C135" i="172"/>
  <c r="D135" i="172"/>
  <c r="F129" i="171"/>
  <c r="C134" i="171"/>
  <c r="B139" i="171"/>
  <c r="D134" i="171"/>
  <c r="C25" i="39"/>
  <c r="E23" i="39"/>
  <c r="L23" i="39" s="1"/>
  <c r="F22" i="39"/>
  <c r="G22" i="39" s="1"/>
  <c r="D24" i="39"/>
  <c r="A27" i="39"/>
  <c r="B26" i="39"/>
  <c r="F110" i="1"/>
  <c r="B120" i="1"/>
  <c r="C120" i="1" s="1"/>
  <c r="D115" i="1"/>
  <c r="F120" i="210" a="1"/>
  <c r="F130" i="206" a="1"/>
  <c r="F130" i="201" a="1"/>
  <c r="F125" i="209" a="1"/>
  <c r="F132" i="178" a="1"/>
  <c r="F120" i="196" a="1"/>
  <c r="F130" i="198" a="1"/>
  <c r="F125" i="220" a="1"/>
  <c r="F132" i="173" a="1"/>
  <c r="F134" i="171" a="1"/>
  <c r="F130" i="190" a="1"/>
  <c r="F120" i="215" a="1"/>
  <c r="F122" i="175" a="1"/>
  <c r="F130" i="203" a="1"/>
  <c r="F130" i="194" a="1"/>
  <c r="F135" i="172" a="1"/>
  <c r="F125" i="180" a="1"/>
  <c r="F125" i="187" a="1"/>
  <c r="F120" i="219" a="1"/>
  <c r="F120" i="202" a="1"/>
  <c r="F125" i="184" a="1"/>
  <c r="F130" i="212" a="1"/>
  <c r="F125" i="207" a="1"/>
  <c r="F130" i="218" a="1"/>
  <c r="F125" i="192" a="1"/>
  <c r="F126" i="176" a="1"/>
  <c r="F130" i="199" a="1"/>
  <c r="F120" i="195" a="1"/>
  <c r="F125" i="211" a="1"/>
  <c r="F125" i="185" a="1"/>
  <c r="F125" i="205" a="1"/>
  <c r="F125" i="214" a="1"/>
  <c r="F132" i="179" a="1"/>
  <c r="F125" i="193" a="1"/>
  <c r="F120" i="213" a="1"/>
  <c r="F125" i="188" a="1"/>
  <c r="F130" i="183" a="1"/>
  <c r="F130" i="200" a="1"/>
  <c r="F125" i="189" a="1"/>
  <c r="F130" i="204" a="1"/>
  <c r="F120" i="217" a="1"/>
  <c r="F120" i="197" a="1"/>
  <c r="F125" i="181" a="1"/>
  <c r="F115" i="1" a="1"/>
  <c r="F132" i="174" a="1"/>
  <c r="F130" i="216" a="1"/>
  <c r="F130" i="191" a="1"/>
  <c r="F115" i="217" a="1"/>
  <c r="F122" i="177" a="1"/>
  <c r="F130" i="186" a="1"/>
  <c r="F130" i="182" a="1"/>
  <c r="F130" i="208" a="1"/>
  <c r="F122" i="177" l="1"/>
  <c r="F115" i="217"/>
  <c r="F120" i="197"/>
  <c r="F120" i="217"/>
  <c r="F120" i="213"/>
  <c r="F120" i="195"/>
  <c r="F120" i="202"/>
  <c r="F120" i="219"/>
  <c r="F122" i="175"/>
  <c r="F120" i="215"/>
  <c r="F120" i="196"/>
  <c r="F120" i="210"/>
  <c r="B130" i="219"/>
  <c r="D125" i="219"/>
  <c r="C125" i="219"/>
  <c r="B130" i="217"/>
  <c r="D125" i="217"/>
  <c r="C125" i="217"/>
  <c r="B130" i="215"/>
  <c r="D125" i="215"/>
  <c r="C125" i="215"/>
  <c r="B130" i="213"/>
  <c r="D125" i="213"/>
  <c r="C125" i="213"/>
  <c r="B130" i="210"/>
  <c r="D125" i="210"/>
  <c r="C125" i="210"/>
  <c r="B130" i="202"/>
  <c r="D125" i="202"/>
  <c r="C125" i="202"/>
  <c r="B130" i="197"/>
  <c r="D125" i="197"/>
  <c r="C125" i="197"/>
  <c r="B130" i="196"/>
  <c r="D125" i="196"/>
  <c r="C125" i="196"/>
  <c r="B130" i="195"/>
  <c r="D125" i="195"/>
  <c r="C125" i="195"/>
  <c r="B132" i="177"/>
  <c r="D127" i="177"/>
  <c r="C127" i="177"/>
  <c r="B132" i="175"/>
  <c r="D127" i="175"/>
  <c r="C127" i="175"/>
  <c r="F125" i="220"/>
  <c r="B135" i="220"/>
  <c r="C130" i="220"/>
  <c r="D130" i="220"/>
  <c r="F130" i="218"/>
  <c r="B140" i="218"/>
  <c r="D135" i="218"/>
  <c r="C135" i="218"/>
  <c r="F130" i="216"/>
  <c r="B140" i="216"/>
  <c r="D135" i="216"/>
  <c r="C135" i="216"/>
  <c r="F125" i="214"/>
  <c r="B135" i="214"/>
  <c r="C130" i="214"/>
  <c r="D130" i="214"/>
  <c r="F130" i="212"/>
  <c r="B140" i="212"/>
  <c r="D135" i="212"/>
  <c r="C135" i="212"/>
  <c r="F125" i="211"/>
  <c r="B135" i="211"/>
  <c r="D130" i="211"/>
  <c r="C130" i="211"/>
  <c r="F125" i="209"/>
  <c r="B135" i="209"/>
  <c r="D130" i="209"/>
  <c r="C130" i="209"/>
  <c r="F130" i="208"/>
  <c r="B140" i="208"/>
  <c r="D135" i="208"/>
  <c r="C135" i="208"/>
  <c r="F125" i="207"/>
  <c r="B135" i="207"/>
  <c r="C130" i="207"/>
  <c r="D130" i="207"/>
  <c r="F130" i="206"/>
  <c r="B140" i="206"/>
  <c r="D135" i="206"/>
  <c r="C135" i="206"/>
  <c r="F125" i="205"/>
  <c r="B135" i="205"/>
  <c r="D130" i="205"/>
  <c r="C130" i="205"/>
  <c r="F130" i="204"/>
  <c r="B140" i="204"/>
  <c r="D135" i="204"/>
  <c r="C135" i="204"/>
  <c r="F130" i="203"/>
  <c r="B140" i="203"/>
  <c r="D135" i="203"/>
  <c r="C135" i="203"/>
  <c r="F130" i="201"/>
  <c r="B140" i="201"/>
  <c r="D135" i="201"/>
  <c r="C135" i="201"/>
  <c r="F130" i="200"/>
  <c r="B140" i="200"/>
  <c r="D135" i="200"/>
  <c r="C135" i="200"/>
  <c r="F130" i="199"/>
  <c r="B140" i="199"/>
  <c r="D135" i="199"/>
  <c r="C135" i="199"/>
  <c r="F130" i="198"/>
  <c r="B140" i="198"/>
  <c r="D135" i="198"/>
  <c r="C135" i="198"/>
  <c r="F130" i="194"/>
  <c r="B140" i="194"/>
  <c r="D135" i="194"/>
  <c r="C135" i="194"/>
  <c r="F125" i="193"/>
  <c r="B135" i="193"/>
  <c r="D130" i="193"/>
  <c r="C130" i="193"/>
  <c r="F125" i="192"/>
  <c r="B135" i="192"/>
  <c r="D130" i="192"/>
  <c r="C130" i="192"/>
  <c r="F130" i="191"/>
  <c r="B140" i="191"/>
  <c r="D135" i="191"/>
  <c r="C135" i="191"/>
  <c r="F130" i="190"/>
  <c r="B140" i="190"/>
  <c r="D135" i="190"/>
  <c r="C135" i="190"/>
  <c r="F125" i="189"/>
  <c r="D130" i="189"/>
  <c r="C130" i="189"/>
  <c r="B135" i="189"/>
  <c r="F125" i="188"/>
  <c r="C130" i="188"/>
  <c r="B135" i="188"/>
  <c r="D130" i="188"/>
  <c r="F125" i="187"/>
  <c r="B135" i="187"/>
  <c r="C130" i="187"/>
  <c r="D130" i="187"/>
  <c r="F130" i="186"/>
  <c r="B140" i="186"/>
  <c r="D135" i="186"/>
  <c r="C135" i="186"/>
  <c r="F125" i="185"/>
  <c r="B135" i="185"/>
  <c r="D130" i="185"/>
  <c r="C130" i="185"/>
  <c r="F125" i="184"/>
  <c r="B135" i="184"/>
  <c r="D130" i="184"/>
  <c r="C130" i="184"/>
  <c r="F130" i="183"/>
  <c r="B140" i="183"/>
  <c r="D135" i="183"/>
  <c r="C135" i="183"/>
  <c r="F130" i="182"/>
  <c r="B140" i="182"/>
  <c r="D135" i="182"/>
  <c r="C135" i="182"/>
  <c r="F125" i="181"/>
  <c r="B135" i="181"/>
  <c r="D130" i="181"/>
  <c r="C130" i="181"/>
  <c r="F125" i="180"/>
  <c r="B135" i="180"/>
  <c r="C130" i="180"/>
  <c r="D130" i="180"/>
  <c r="F132" i="179"/>
  <c r="B142" i="179"/>
  <c r="D137" i="179"/>
  <c r="C137" i="179"/>
  <c r="F132" i="178"/>
  <c r="B142" i="178"/>
  <c r="D137" i="178"/>
  <c r="C137" i="178"/>
  <c r="F126" i="176"/>
  <c r="B136" i="176"/>
  <c r="D131" i="176"/>
  <c r="C131" i="176"/>
  <c r="F132" i="174"/>
  <c r="B142" i="174"/>
  <c r="D137" i="174"/>
  <c r="C137" i="174"/>
  <c r="F132" i="173"/>
  <c r="B142" i="173"/>
  <c r="D137" i="173"/>
  <c r="C137" i="173"/>
  <c r="F135" i="172"/>
  <c r="B145" i="172"/>
  <c r="D140" i="172"/>
  <c r="C140" i="172"/>
  <c r="F134" i="171"/>
  <c r="B144" i="171"/>
  <c r="D139" i="171"/>
  <c r="C139" i="171"/>
  <c r="C26" i="39"/>
  <c r="E24" i="39"/>
  <c r="L24" i="39" s="1"/>
  <c r="F23" i="39"/>
  <c r="G23" i="39" s="1"/>
  <c r="D25" i="39"/>
  <c r="A28" i="39"/>
  <c r="B27" i="39"/>
  <c r="K27" i="39" s="1"/>
  <c r="J27" i="39" s="1"/>
  <c r="F115" i="1"/>
  <c r="B125" i="1"/>
  <c r="C125" i="1" s="1"/>
  <c r="D120" i="1"/>
  <c r="F130" i="187" a="1"/>
  <c r="F137" i="178" a="1"/>
  <c r="F125" i="210" a="1"/>
  <c r="F140" i="172" a="1"/>
  <c r="F130" i="192" a="1"/>
  <c r="F125" i="196" a="1"/>
  <c r="F137" i="173" a="1"/>
  <c r="F137" i="179" a="1"/>
  <c r="F135" i="203" a="1"/>
  <c r="F130" i="184" a="1"/>
  <c r="F135" i="204" a="1"/>
  <c r="F125" i="215" a="1"/>
  <c r="F127" i="175" a="1"/>
  <c r="F130" i="180" a="1"/>
  <c r="F130" i="207" a="1"/>
  <c r="F135" i="212" a="1"/>
  <c r="F135" i="216" a="1"/>
  <c r="F135" i="206" a="1"/>
  <c r="F139" i="171" a="1"/>
  <c r="F130" i="185" a="1"/>
  <c r="F130" i="188" a="1"/>
  <c r="F130" i="211" a="1"/>
  <c r="F127" i="177" a="1"/>
  <c r="F125" i="202" a="1"/>
  <c r="F135" i="182" a="1"/>
  <c r="F135" i="198" a="1"/>
  <c r="F120" i="1" a="1"/>
  <c r="F130" i="214" a="1"/>
  <c r="F135" i="199" a="1"/>
  <c r="F125" i="219" a="1"/>
  <c r="F125" i="195" a="1"/>
  <c r="F130" i="181" a="1"/>
  <c r="F130" i="205" a="1"/>
  <c r="F135" i="218" a="1"/>
  <c r="F135" i="208" a="1"/>
  <c r="F130" i="193" a="1"/>
  <c r="F125" i="213" a="1"/>
  <c r="F135" i="201" a="1"/>
  <c r="F137" i="174" a="1"/>
  <c r="F130" i="209" a="1"/>
  <c r="F130" i="220" a="1"/>
  <c r="F135" i="191" a="1"/>
  <c r="F125" i="197" a="1"/>
  <c r="F130" i="189" a="1"/>
  <c r="F135" i="194" a="1"/>
  <c r="F135" i="186" a="1"/>
  <c r="F135" i="190" a="1"/>
  <c r="F125" i="217" a="1"/>
  <c r="F131" i="176" a="1"/>
  <c r="F135" i="200" a="1"/>
  <c r="F135" i="183" a="1"/>
  <c r="F125" i="217" l="1"/>
  <c r="F125" i="197"/>
  <c r="F125" i="213"/>
  <c r="F125" i="195"/>
  <c r="F125" i="219"/>
  <c r="F125" i="202"/>
  <c r="F127" i="177"/>
  <c r="F127" i="175"/>
  <c r="F125" i="215"/>
  <c r="F125" i="196"/>
  <c r="F125" i="210"/>
  <c r="B135" i="219"/>
  <c r="D130" i="219"/>
  <c r="C130" i="219"/>
  <c r="B135" i="217"/>
  <c r="D130" i="217"/>
  <c r="C130" i="217"/>
  <c r="B135" i="215"/>
  <c r="D130" i="215"/>
  <c r="C130" i="215"/>
  <c r="B135" i="213"/>
  <c r="D130" i="213"/>
  <c r="C130" i="213"/>
  <c r="B135" i="210"/>
  <c r="C130" i="210"/>
  <c r="D130" i="210"/>
  <c r="B135" i="202"/>
  <c r="D130" i="202"/>
  <c r="C130" i="202"/>
  <c r="B135" i="197"/>
  <c r="D130" i="197"/>
  <c r="C130" i="197"/>
  <c r="B135" i="196"/>
  <c r="D130" i="196"/>
  <c r="C130" i="196"/>
  <c r="B135" i="195"/>
  <c r="D130" i="195"/>
  <c r="C130" i="195"/>
  <c r="B137" i="177"/>
  <c r="D132" i="177"/>
  <c r="C132" i="177"/>
  <c r="B137" i="175"/>
  <c r="D132" i="175"/>
  <c r="C132" i="175"/>
  <c r="F130" i="220"/>
  <c r="B140" i="220"/>
  <c r="D135" i="220"/>
  <c r="C135" i="220"/>
  <c r="F135" i="218"/>
  <c r="D140" i="218"/>
  <c r="C140" i="218"/>
  <c r="B145" i="218"/>
  <c r="F135" i="216"/>
  <c r="D140" i="216"/>
  <c r="C140" i="216"/>
  <c r="B145" i="216"/>
  <c r="F130" i="214"/>
  <c r="B140" i="214"/>
  <c r="D135" i="214"/>
  <c r="C135" i="214"/>
  <c r="F135" i="212"/>
  <c r="D140" i="212"/>
  <c r="C140" i="212"/>
  <c r="B145" i="212"/>
  <c r="F130" i="211"/>
  <c r="B140" i="211"/>
  <c r="D135" i="211"/>
  <c r="C135" i="211"/>
  <c r="F130" i="209"/>
  <c r="B140" i="209"/>
  <c r="D135" i="209"/>
  <c r="C135" i="209"/>
  <c r="F135" i="208"/>
  <c r="D140" i="208"/>
  <c r="C140" i="208"/>
  <c r="B145" i="208"/>
  <c r="F130" i="207"/>
  <c r="B140" i="207"/>
  <c r="D135" i="207"/>
  <c r="C135" i="207"/>
  <c r="F135" i="206"/>
  <c r="D140" i="206"/>
  <c r="C140" i="206"/>
  <c r="B145" i="206"/>
  <c r="F130" i="205"/>
  <c r="B140" i="205"/>
  <c r="D135" i="205"/>
  <c r="C135" i="205"/>
  <c r="F135" i="204"/>
  <c r="D140" i="204"/>
  <c r="C140" i="204"/>
  <c r="B145" i="204"/>
  <c r="F135" i="203"/>
  <c r="D140" i="203"/>
  <c r="C140" i="203"/>
  <c r="B145" i="203"/>
  <c r="F135" i="201"/>
  <c r="D140" i="201"/>
  <c r="C140" i="201"/>
  <c r="B145" i="201"/>
  <c r="F135" i="200"/>
  <c r="D140" i="200"/>
  <c r="C140" i="200"/>
  <c r="B145" i="200"/>
  <c r="F135" i="199"/>
  <c r="D140" i="199"/>
  <c r="C140" i="199"/>
  <c r="B145" i="199"/>
  <c r="F135" i="198"/>
  <c r="D140" i="198"/>
  <c r="C140" i="198"/>
  <c r="B145" i="198"/>
  <c r="F135" i="194"/>
  <c r="D140" i="194"/>
  <c r="C140" i="194"/>
  <c r="B145" i="194"/>
  <c r="F130" i="193"/>
  <c r="B140" i="193"/>
  <c r="D135" i="193"/>
  <c r="C135" i="193"/>
  <c r="F130" i="192"/>
  <c r="B140" i="192"/>
  <c r="D135" i="192"/>
  <c r="C135" i="192"/>
  <c r="F135" i="191"/>
  <c r="D140" i="191"/>
  <c r="C140" i="191"/>
  <c r="B145" i="191"/>
  <c r="F135" i="190"/>
  <c r="D140" i="190"/>
  <c r="C140" i="190"/>
  <c r="B145" i="190"/>
  <c r="F130" i="189"/>
  <c r="B140" i="189"/>
  <c r="D135" i="189"/>
  <c r="C135" i="189"/>
  <c r="F130" i="188"/>
  <c r="B140" i="188"/>
  <c r="D135" i="188"/>
  <c r="C135" i="188"/>
  <c r="F130" i="187"/>
  <c r="B140" i="187"/>
  <c r="D135" i="187"/>
  <c r="C135" i="187"/>
  <c r="F135" i="186"/>
  <c r="D140" i="186"/>
  <c r="C140" i="186"/>
  <c r="B145" i="186"/>
  <c r="F130" i="185"/>
  <c r="B140" i="185"/>
  <c r="D135" i="185"/>
  <c r="C135" i="185"/>
  <c r="F130" i="184"/>
  <c r="B140" i="184"/>
  <c r="D135" i="184"/>
  <c r="C135" i="184"/>
  <c r="F135" i="183"/>
  <c r="D140" i="183"/>
  <c r="C140" i="183"/>
  <c r="B145" i="183"/>
  <c r="F135" i="182"/>
  <c r="D140" i="182"/>
  <c r="C140" i="182"/>
  <c r="B145" i="182"/>
  <c r="F130" i="181"/>
  <c r="B140" i="181"/>
  <c r="D135" i="181"/>
  <c r="C135" i="181"/>
  <c r="F130" i="180"/>
  <c r="B140" i="180"/>
  <c r="D135" i="180"/>
  <c r="C135" i="180"/>
  <c r="F137" i="179"/>
  <c r="D142" i="179"/>
  <c r="C142" i="179"/>
  <c r="B147" i="179"/>
  <c r="F137" i="178"/>
  <c r="D142" i="178"/>
  <c r="C142" i="178"/>
  <c r="B147" i="178"/>
  <c r="F131" i="176"/>
  <c r="B141" i="176"/>
  <c r="D136" i="176"/>
  <c r="C136" i="176"/>
  <c r="F137" i="174"/>
  <c r="D142" i="174"/>
  <c r="C142" i="174"/>
  <c r="B147" i="174"/>
  <c r="F137" i="173"/>
  <c r="D142" i="173"/>
  <c r="C142" i="173"/>
  <c r="B147" i="173"/>
  <c r="F140" i="172"/>
  <c r="D145" i="172"/>
  <c r="C145" i="172"/>
  <c r="B150" i="172"/>
  <c r="F139" i="171"/>
  <c r="D144" i="171"/>
  <c r="C144" i="171"/>
  <c r="B149" i="171"/>
  <c r="C27" i="39"/>
  <c r="E25" i="39"/>
  <c r="L25" i="39" s="1"/>
  <c r="F24" i="39"/>
  <c r="G24" i="39" s="1"/>
  <c r="D26" i="39"/>
  <c r="A29" i="39"/>
  <c r="K29" i="39" s="1"/>
  <c r="J29" i="39" s="1"/>
  <c r="B28" i="39"/>
  <c r="K28" i="39" s="1"/>
  <c r="J28" i="39" s="1"/>
  <c r="F120" i="1"/>
  <c r="D125" i="1"/>
  <c r="B130" i="1"/>
  <c r="C130" i="1" s="1"/>
  <c r="F130" i="217" a="1"/>
  <c r="F135" i="188" a="1"/>
  <c r="F135" i="205" a="1"/>
  <c r="F140" i="208" a="1"/>
  <c r="F135" i="187" a="1"/>
  <c r="F135" i="211" a="1"/>
  <c r="F135" i="189" a="1"/>
  <c r="F135" i="184" a="1"/>
  <c r="F135" i="193" a="1"/>
  <c r="F135" i="185" a="1"/>
  <c r="F140" i="204" a="1"/>
  <c r="F142" i="174" a="1"/>
  <c r="F135" i="180" a="1"/>
  <c r="F130" i="196" a="1"/>
  <c r="F140" i="194" a="1"/>
  <c r="F145" i="172" a="1"/>
  <c r="F140" i="199" a="1"/>
  <c r="F140" i="216" a="1"/>
  <c r="F135" i="207" a="1"/>
  <c r="F140" i="212" a="1"/>
  <c r="F130" i="195" a="1"/>
  <c r="F136" i="176" a="1"/>
  <c r="F130" i="215" a="1"/>
  <c r="F132" i="175" a="1"/>
  <c r="F140" i="206" a="1"/>
  <c r="F140" i="201" a="1"/>
  <c r="F142" i="179" a="1"/>
  <c r="F142" i="178" a="1"/>
  <c r="F140" i="218" a="1"/>
  <c r="F130" i="202" a="1"/>
  <c r="F142" i="173" a="1"/>
  <c r="F130" i="219" a="1"/>
  <c r="F140" i="203" a="1"/>
  <c r="F140" i="186" a="1"/>
  <c r="F135" i="181" a="1"/>
  <c r="F125" i="1" a="1"/>
  <c r="F140" i="198" a="1"/>
  <c r="F130" i="213" a="1"/>
  <c r="F144" i="171" a="1"/>
  <c r="F140" i="183" a="1"/>
  <c r="F140" i="190" a="1"/>
  <c r="F135" i="214" a="1"/>
  <c r="F140" i="200" a="1"/>
  <c r="F130" i="197" a="1"/>
  <c r="F135" i="192" a="1"/>
  <c r="F140" i="182" a="1"/>
  <c r="F135" i="209" a="1"/>
  <c r="F135" i="220" a="1"/>
  <c r="F140" i="191" a="1"/>
  <c r="F132" i="177" a="1"/>
  <c r="F132" i="177" l="1"/>
  <c r="F130" i="197"/>
  <c r="F130" i="213"/>
  <c r="F130" i="219"/>
  <c r="F130" i="202"/>
  <c r="F132" i="175"/>
  <c r="F130" i="215"/>
  <c r="F130" i="195"/>
  <c r="F130" i="196"/>
  <c r="F130" i="217"/>
  <c r="B140" i="219"/>
  <c r="D135" i="219"/>
  <c r="C135" i="219"/>
  <c r="B140" i="217"/>
  <c r="D135" i="217"/>
  <c r="C135" i="217"/>
  <c r="B140" i="215"/>
  <c r="D135" i="215"/>
  <c r="C135" i="215"/>
  <c r="B140" i="213"/>
  <c r="D135" i="213"/>
  <c r="C135" i="213"/>
  <c r="B140" i="210"/>
  <c r="D135" i="210"/>
  <c r="C135" i="210"/>
  <c r="B140" i="202"/>
  <c r="D135" i="202"/>
  <c r="C135" i="202"/>
  <c r="B140" i="197"/>
  <c r="D135" i="197"/>
  <c r="C135" i="197"/>
  <c r="B140" i="196"/>
  <c r="D135" i="196"/>
  <c r="C135" i="196"/>
  <c r="B140" i="195"/>
  <c r="D135" i="195"/>
  <c r="C135" i="195"/>
  <c r="D137" i="177"/>
  <c r="C137" i="177"/>
  <c r="B142" i="177"/>
  <c r="B142" i="175"/>
  <c r="D137" i="175"/>
  <c r="C137" i="175"/>
  <c r="F135" i="220"/>
  <c r="D140" i="220"/>
  <c r="C140" i="220"/>
  <c r="B145" i="220"/>
  <c r="F140" i="218"/>
  <c r="B151" i="218"/>
  <c r="D145" i="218"/>
  <c r="C145" i="218"/>
  <c r="F140" i="216"/>
  <c r="B151" i="216"/>
  <c r="D145" i="216"/>
  <c r="C145" i="216"/>
  <c r="F135" i="214"/>
  <c r="D140" i="214"/>
  <c r="C140" i="214"/>
  <c r="B145" i="214"/>
  <c r="F140" i="212"/>
  <c r="B151" i="212"/>
  <c r="D145" i="212"/>
  <c r="C145" i="212"/>
  <c r="F135" i="211"/>
  <c r="D140" i="211"/>
  <c r="C140" i="211"/>
  <c r="B145" i="211"/>
  <c r="F135" i="209"/>
  <c r="D140" i="209"/>
  <c r="C140" i="209"/>
  <c r="B145" i="209"/>
  <c r="F140" i="208"/>
  <c r="B151" i="208"/>
  <c r="D145" i="208"/>
  <c r="C145" i="208"/>
  <c r="F135" i="207"/>
  <c r="D140" i="207"/>
  <c r="C140" i="207"/>
  <c r="B145" i="207"/>
  <c r="F140" i="206"/>
  <c r="B151" i="206"/>
  <c r="D145" i="206"/>
  <c r="C145" i="206"/>
  <c r="F135" i="205"/>
  <c r="D140" i="205"/>
  <c r="C140" i="205"/>
  <c r="B145" i="205"/>
  <c r="F140" i="204"/>
  <c r="B151" i="204"/>
  <c r="D145" i="204"/>
  <c r="C145" i="204"/>
  <c r="F140" i="203"/>
  <c r="B151" i="203"/>
  <c r="D145" i="203"/>
  <c r="C145" i="203"/>
  <c r="F140" i="201"/>
  <c r="B151" i="201"/>
  <c r="D145" i="201"/>
  <c r="C145" i="201"/>
  <c r="F140" i="200"/>
  <c r="B151" i="200"/>
  <c r="D145" i="200"/>
  <c r="C145" i="200"/>
  <c r="F140" i="199"/>
  <c r="B151" i="199"/>
  <c r="D145" i="199"/>
  <c r="C145" i="199"/>
  <c r="F140" i="198"/>
  <c r="B151" i="198"/>
  <c r="D145" i="198"/>
  <c r="C145" i="198"/>
  <c r="F140" i="194"/>
  <c r="B151" i="194"/>
  <c r="D145" i="194"/>
  <c r="C145" i="194"/>
  <c r="F135" i="193"/>
  <c r="D140" i="193"/>
  <c r="C140" i="193"/>
  <c r="B145" i="193"/>
  <c r="F135" i="192"/>
  <c r="D140" i="192"/>
  <c r="C140" i="192"/>
  <c r="B145" i="192"/>
  <c r="F140" i="191"/>
  <c r="B151" i="191"/>
  <c r="D145" i="191"/>
  <c r="C145" i="191"/>
  <c r="F140" i="190"/>
  <c r="B151" i="190"/>
  <c r="D145" i="190"/>
  <c r="C145" i="190"/>
  <c r="F135" i="189"/>
  <c r="D140" i="189"/>
  <c r="C140" i="189"/>
  <c r="B145" i="189"/>
  <c r="F135" i="188"/>
  <c r="D140" i="188"/>
  <c r="C140" i="188"/>
  <c r="B145" i="188"/>
  <c r="F135" i="187"/>
  <c r="D140" i="187"/>
  <c r="C140" i="187"/>
  <c r="B145" i="187"/>
  <c r="F140" i="186"/>
  <c r="B151" i="186"/>
  <c r="D145" i="186"/>
  <c r="C145" i="186"/>
  <c r="F135" i="185"/>
  <c r="D140" i="185"/>
  <c r="C140" i="185"/>
  <c r="B145" i="185"/>
  <c r="F135" i="184"/>
  <c r="D140" i="184"/>
  <c r="C140" i="184"/>
  <c r="B145" i="184"/>
  <c r="F140" i="183"/>
  <c r="B151" i="183"/>
  <c r="D145" i="183"/>
  <c r="C145" i="183"/>
  <c r="F140" i="182"/>
  <c r="B151" i="182"/>
  <c r="D145" i="182"/>
  <c r="C145" i="182"/>
  <c r="F135" i="181"/>
  <c r="D140" i="181"/>
  <c r="C140" i="181"/>
  <c r="B145" i="181"/>
  <c r="F135" i="180"/>
  <c r="D140" i="180"/>
  <c r="C140" i="180"/>
  <c r="B145" i="180"/>
  <c r="F142" i="179"/>
  <c r="B153" i="179"/>
  <c r="D147" i="179"/>
  <c r="C147" i="179"/>
  <c r="F142" i="178"/>
  <c r="B153" i="178"/>
  <c r="D147" i="178"/>
  <c r="C147" i="178"/>
  <c r="F136" i="176"/>
  <c r="D141" i="176"/>
  <c r="C141" i="176"/>
  <c r="B146" i="176"/>
  <c r="F142" i="174"/>
  <c r="B153" i="174"/>
  <c r="D147" i="174"/>
  <c r="C147" i="174"/>
  <c r="F142" i="173"/>
  <c r="B153" i="173"/>
  <c r="D147" i="173"/>
  <c r="C147" i="173"/>
  <c r="F145" i="172"/>
  <c r="B156" i="172"/>
  <c r="D150" i="172"/>
  <c r="C150" i="172"/>
  <c r="F144" i="171"/>
  <c r="B155" i="171"/>
  <c r="D149" i="171"/>
  <c r="C149" i="171"/>
  <c r="C28" i="39"/>
  <c r="E26" i="39"/>
  <c r="L26" i="39" s="1"/>
  <c r="F25" i="39"/>
  <c r="G25" i="39" s="1"/>
  <c r="D27" i="39"/>
  <c r="A30" i="39"/>
  <c r="K30" i="39" s="1"/>
  <c r="J30" i="39" s="1"/>
  <c r="B29" i="39"/>
  <c r="F125" i="1"/>
  <c r="B135" i="1"/>
  <c r="C135" i="1" s="1"/>
  <c r="D130" i="1"/>
  <c r="F135" i="210" a="1"/>
  <c r="F140" i="214" a="1"/>
  <c r="F147" i="179" a="1"/>
  <c r="F140" i="193" a="1"/>
  <c r="F150" i="172" a="1"/>
  <c r="F147" i="178" a="1"/>
  <c r="F145" i="212" a="1"/>
  <c r="F145" i="198" a="1"/>
  <c r="F135" i="213" a="1"/>
  <c r="F145" i="186" a="1"/>
  <c r="F135" i="215" a="1"/>
  <c r="F135" i="196" a="1"/>
  <c r="F140" i="184" a="1"/>
  <c r="F147" i="174" a="1"/>
  <c r="F145" i="216" a="1"/>
  <c r="F140" i="180" a="1"/>
  <c r="F145" i="203" a="1"/>
  <c r="F135" i="195" a="1"/>
  <c r="F145" i="183" a="1"/>
  <c r="F140" i="211" a="1"/>
  <c r="F145" i="191" a="1"/>
  <c r="F137" i="175" a="1"/>
  <c r="F145" i="200" a="1"/>
  <c r="F145" i="190" a="1"/>
  <c r="F140" i="205" a="1"/>
  <c r="F140" i="187" a="1"/>
  <c r="F141" i="176" a="1"/>
  <c r="F145" i="199" a="1"/>
  <c r="F145" i="206" a="1"/>
  <c r="F140" i="185" a="1"/>
  <c r="F135" i="219" a="1"/>
  <c r="F135" i="202" a="1"/>
  <c r="F145" i="194" a="1"/>
  <c r="F145" i="208" a="1"/>
  <c r="F140" i="192" a="1"/>
  <c r="F145" i="182" a="1"/>
  <c r="F130" i="1" a="1"/>
  <c r="F130" i="210" a="1"/>
  <c r="F145" i="218" a="1"/>
  <c r="F145" i="204" a="1"/>
  <c r="F140" i="220" a="1"/>
  <c r="F140" i="207" a="1"/>
  <c r="F140" i="181" a="1"/>
  <c r="F140" i="189" a="1"/>
  <c r="F140" i="188" a="1"/>
  <c r="F145" i="201" a="1"/>
  <c r="F147" i="173" a="1"/>
  <c r="F149" i="171" a="1"/>
  <c r="F135" i="217" a="1"/>
  <c r="F135" i="197" a="1"/>
  <c r="F137" i="177" a="1"/>
  <c r="F140" i="209" a="1"/>
  <c r="F137" i="177" l="1"/>
  <c r="F135" i="197"/>
  <c r="F135" i="217"/>
  <c r="F130" i="210"/>
  <c r="F135" i="202"/>
  <c r="F135" i="219"/>
  <c r="F137" i="175"/>
  <c r="F135" i="195"/>
  <c r="F135" i="196"/>
  <c r="F135" i="215"/>
  <c r="F135" i="213"/>
  <c r="F135" i="210"/>
  <c r="D140" i="219"/>
  <c r="C140" i="219"/>
  <c r="B145" i="219"/>
  <c r="D140" i="217"/>
  <c r="C140" i="217"/>
  <c r="B145" i="217"/>
  <c r="D140" i="215"/>
  <c r="C140" i="215"/>
  <c r="B145" i="215"/>
  <c r="D140" i="213"/>
  <c r="C140" i="213"/>
  <c r="B145" i="213"/>
  <c r="D140" i="210"/>
  <c r="C140" i="210"/>
  <c r="B145" i="210"/>
  <c r="D140" i="202"/>
  <c r="C140" i="202"/>
  <c r="B145" i="202"/>
  <c r="D140" i="197"/>
  <c r="C140" i="197"/>
  <c r="B145" i="197"/>
  <c r="D140" i="196"/>
  <c r="C140" i="196"/>
  <c r="B145" i="196"/>
  <c r="D140" i="195"/>
  <c r="C140" i="195"/>
  <c r="B145" i="195"/>
  <c r="D142" i="177"/>
  <c r="C142" i="177"/>
  <c r="B147" i="177"/>
  <c r="D142" i="175"/>
  <c r="C142" i="175"/>
  <c r="B147" i="175"/>
  <c r="F140" i="220"/>
  <c r="B151" i="220"/>
  <c r="D145" i="220"/>
  <c r="C145" i="220"/>
  <c r="F145" i="218"/>
  <c r="D151" i="218"/>
  <c r="C151" i="218"/>
  <c r="B156" i="218"/>
  <c r="F145" i="216"/>
  <c r="D151" i="216"/>
  <c r="C151" i="216"/>
  <c r="B156" i="216"/>
  <c r="F140" i="214"/>
  <c r="B151" i="214"/>
  <c r="D145" i="214"/>
  <c r="C145" i="214"/>
  <c r="F145" i="212"/>
  <c r="D151" i="212"/>
  <c r="C151" i="212"/>
  <c r="B156" i="212"/>
  <c r="F140" i="211"/>
  <c r="B151" i="211"/>
  <c r="D145" i="211"/>
  <c r="C145" i="211"/>
  <c r="F140" i="209"/>
  <c r="B151" i="209"/>
  <c r="D145" i="209"/>
  <c r="C145" i="209"/>
  <c r="F145" i="208"/>
  <c r="D151" i="208"/>
  <c r="C151" i="208"/>
  <c r="B156" i="208"/>
  <c r="F140" i="207"/>
  <c r="B151" i="207"/>
  <c r="D145" i="207"/>
  <c r="C145" i="207"/>
  <c r="F145" i="206"/>
  <c r="D151" i="206"/>
  <c r="C151" i="206"/>
  <c r="B156" i="206"/>
  <c r="F140" i="205"/>
  <c r="B151" i="205"/>
  <c r="D145" i="205"/>
  <c r="C145" i="205"/>
  <c r="F145" i="204"/>
  <c r="D151" i="204"/>
  <c r="C151" i="204"/>
  <c r="B156" i="204"/>
  <c r="F145" i="203"/>
  <c r="D151" i="203"/>
  <c r="C151" i="203"/>
  <c r="B156" i="203"/>
  <c r="F145" i="201"/>
  <c r="D151" i="201"/>
  <c r="C151" i="201"/>
  <c r="B156" i="201"/>
  <c r="F145" i="200"/>
  <c r="D151" i="200"/>
  <c r="C151" i="200"/>
  <c r="B156" i="200"/>
  <c r="F145" i="199"/>
  <c r="D151" i="199"/>
  <c r="C151" i="199"/>
  <c r="B156" i="199"/>
  <c r="F145" i="198"/>
  <c r="D151" i="198"/>
  <c r="C151" i="198"/>
  <c r="B156" i="198"/>
  <c r="F145" i="194"/>
  <c r="D151" i="194"/>
  <c r="C151" i="194"/>
  <c r="B156" i="194"/>
  <c r="F140" i="193"/>
  <c r="B151" i="193"/>
  <c r="D145" i="193"/>
  <c r="C145" i="193"/>
  <c r="F140" i="192"/>
  <c r="B151" i="192"/>
  <c r="D145" i="192"/>
  <c r="C145" i="192"/>
  <c r="F145" i="191"/>
  <c r="D151" i="191"/>
  <c r="C151" i="191"/>
  <c r="B156" i="191"/>
  <c r="F145" i="190"/>
  <c r="D151" i="190"/>
  <c r="C151" i="190"/>
  <c r="B156" i="190"/>
  <c r="F140" i="189"/>
  <c r="B151" i="189"/>
  <c r="D145" i="189"/>
  <c r="C145" i="189"/>
  <c r="F140" i="188"/>
  <c r="B151" i="188"/>
  <c r="D145" i="188"/>
  <c r="C145" i="188"/>
  <c r="F140" i="187"/>
  <c r="B151" i="187"/>
  <c r="D145" i="187"/>
  <c r="C145" i="187"/>
  <c r="F145" i="186"/>
  <c r="D151" i="186"/>
  <c r="C151" i="186"/>
  <c r="B156" i="186"/>
  <c r="F140" i="185"/>
  <c r="B151" i="185"/>
  <c r="D145" i="185"/>
  <c r="C145" i="185"/>
  <c r="F140" i="184"/>
  <c r="B151" i="184"/>
  <c r="D145" i="184"/>
  <c r="C145" i="184"/>
  <c r="F145" i="183"/>
  <c r="D151" i="183"/>
  <c r="C151" i="183"/>
  <c r="B156" i="183"/>
  <c r="F145" i="182"/>
  <c r="D151" i="182"/>
  <c r="C151" i="182"/>
  <c r="B156" i="182"/>
  <c r="F140" i="181"/>
  <c r="B151" i="181"/>
  <c r="D145" i="181"/>
  <c r="C145" i="181"/>
  <c r="F140" i="180"/>
  <c r="B151" i="180"/>
  <c r="D145" i="180"/>
  <c r="C145" i="180"/>
  <c r="F147" i="179"/>
  <c r="D153" i="179"/>
  <c r="C153" i="179"/>
  <c r="B158" i="179"/>
  <c r="F147" i="178"/>
  <c r="D153" i="178"/>
  <c r="C153" i="178"/>
  <c r="B158" i="178"/>
  <c r="D158" i="178" s="1"/>
  <c r="F141" i="176"/>
  <c r="B152" i="176"/>
  <c r="D146" i="176"/>
  <c r="C146" i="176"/>
  <c r="F147" i="174"/>
  <c r="D153" i="174"/>
  <c r="C153" i="174"/>
  <c r="B158" i="174"/>
  <c r="F147" i="173"/>
  <c r="D153" i="173"/>
  <c r="C153" i="173"/>
  <c r="B158" i="173"/>
  <c r="F150" i="172"/>
  <c r="D156" i="172"/>
  <c r="C156" i="172"/>
  <c r="B161" i="172"/>
  <c r="F149" i="171"/>
  <c r="D155" i="171"/>
  <c r="C155" i="171"/>
  <c r="B160" i="171"/>
  <c r="C29" i="39"/>
  <c r="E27" i="39"/>
  <c r="L27" i="39" s="1"/>
  <c r="F26" i="39"/>
  <c r="G26" i="39" s="1"/>
  <c r="D28" i="39"/>
  <c r="A31" i="39"/>
  <c r="B30" i="39"/>
  <c r="F130" i="1"/>
  <c r="B140" i="1"/>
  <c r="C140" i="1" s="1"/>
  <c r="D135" i="1"/>
  <c r="F140" i="196" a="1"/>
  <c r="F151" i="186" a="1"/>
  <c r="F145" i="184" a="1"/>
  <c r="F135" i="1" a="1"/>
  <c r="F145" i="189" a="1"/>
  <c r="F145" i="220" a="1"/>
  <c r="F140" i="215" a="1"/>
  <c r="F142" i="175" a="1"/>
  <c r="F151" i="183" a="1"/>
  <c r="F145" i="209" a="1"/>
  <c r="F151" i="203" a="1"/>
  <c r="F145" i="205" a="1"/>
  <c r="F151" i="199" a="1"/>
  <c r="F140" i="202" a="1"/>
  <c r="F146" i="176" a="1"/>
  <c r="F151" i="204" a="1"/>
  <c r="F151" i="198" a="1"/>
  <c r="F145" i="193" a="1"/>
  <c r="F151" i="200" a="1"/>
  <c r="F140" i="219" a="1"/>
  <c r="F140" i="195" a="1"/>
  <c r="F145" i="181" a="1"/>
  <c r="F151" i="208" a="1"/>
  <c r="F151" i="190" a="1"/>
  <c r="F145" i="188" a="1"/>
  <c r="F153" i="174" a="1"/>
  <c r="F145" i="185" a="1"/>
  <c r="F151" i="191" a="1"/>
  <c r="F151" i="194" a="1"/>
  <c r="F145" i="192" a="1"/>
  <c r="F151" i="182" a="1"/>
  <c r="F140" i="213" a="1"/>
  <c r="F145" i="187" a="1"/>
  <c r="F153" i="179" a="1"/>
  <c r="F151" i="206" a="1"/>
  <c r="F140" i="197" a="1"/>
  <c r="F151" i="201" a="1"/>
  <c r="F145" i="214" a="1"/>
  <c r="F145" i="180" a="1"/>
  <c r="F153" i="173" a="1"/>
  <c r="F145" i="207" a="1"/>
  <c r="F140" i="217" a="1"/>
  <c r="F142" i="177" a="1"/>
  <c r="F151" i="216" a="1"/>
  <c r="F151" i="218" a="1"/>
  <c r="F151" i="212" a="1"/>
  <c r="F156" i="172" a="1"/>
  <c r="F153" i="178" a="1"/>
  <c r="F140" i="210" a="1"/>
  <c r="F145" i="211" a="1"/>
  <c r="F155" i="171" a="1"/>
  <c r="F140" i="210" l="1"/>
  <c r="F142" i="177"/>
  <c r="F140" i="217"/>
  <c r="F140" i="197"/>
  <c r="F140" i="213"/>
  <c r="F140" i="195"/>
  <c r="F140" i="219"/>
  <c r="F140" i="202"/>
  <c r="F142" i="175"/>
  <c r="F140" i="215"/>
  <c r="F140" i="196"/>
  <c r="B151" i="219"/>
  <c r="D145" i="219"/>
  <c r="C145" i="219"/>
  <c r="B151" i="217"/>
  <c r="D145" i="217"/>
  <c r="C145" i="217"/>
  <c r="B151" i="215"/>
  <c r="D145" i="215"/>
  <c r="C145" i="215"/>
  <c r="B151" i="213"/>
  <c r="D145" i="213"/>
  <c r="C145" i="213"/>
  <c r="B151" i="210"/>
  <c r="D145" i="210"/>
  <c r="C145" i="210"/>
  <c r="B151" i="202"/>
  <c r="D145" i="202"/>
  <c r="C145" i="202"/>
  <c r="B151" i="197"/>
  <c r="D145" i="197"/>
  <c r="C145" i="197"/>
  <c r="B151" i="196"/>
  <c r="D145" i="196"/>
  <c r="C145" i="196"/>
  <c r="B151" i="195"/>
  <c r="D145" i="195"/>
  <c r="C145" i="195"/>
  <c r="B153" i="177"/>
  <c r="D147" i="177"/>
  <c r="C147" i="177"/>
  <c r="B153" i="175"/>
  <c r="D147" i="175"/>
  <c r="C147" i="175"/>
  <c r="F145" i="220"/>
  <c r="D151" i="220"/>
  <c r="C151" i="220"/>
  <c r="B156" i="220"/>
  <c r="F151" i="218"/>
  <c r="B161" i="218"/>
  <c r="D156" i="218"/>
  <c r="C156" i="218"/>
  <c r="F151" i="216"/>
  <c r="B161" i="216"/>
  <c r="D156" i="216"/>
  <c r="C156" i="216"/>
  <c r="F145" i="214"/>
  <c r="D151" i="214"/>
  <c r="C151" i="214"/>
  <c r="B156" i="214"/>
  <c r="F151" i="212"/>
  <c r="B161" i="212"/>
  <c r="D156" i="212"/>
  <c r="C156" i="212"/>
  <c r="F145" i="211"/>
  <c r="D151" i="211"/>
  <c r="C151" i="211"/>
  <c r="B156" i="211"/>
  <c r="F145" i="209"/>
  <c r="D151" i="209"/>
  <c r="C151" i="209"/>
  <c r="B156" i="209"/>
  <c r="F151" i="208"/>
  <c r="B161" i="208"/>
  <c r="D156" i="208"/>
  <c r="C156" i="208"/>
  <c r="F145" i="207"/>
  <c r="D151" i="207"/>
  <c r="C151" i="207"/>
  <c r="B156" i="207"/>
  <c r="F151" i="206"/>
  <c r="B161" i="206"/>
  <c r="D156" i="206"/>
  <c r="C156" i="206"/>
  <c r="F145" i="205"/>
  <c r="D151" i="205"/>
  <c r="C151" i="205"/>
  <c r="B156" i="205"/>
  <c r="F151" i="204"/>
  <c r="B161" i="204"/>
  <c r="D156" i="204"/>
  <c r="C156" i="204"/>
  <c r="F151" i="203"/>
  <c r="B161" i="203"/>
  <c r="D156" i="203"/>
  <c r="C156" i="203"/>
  <c r="F151" i="201"/>
  <c r="B161" i="201"/>
  <c r="D156" i="201"/>
  <c r="C156" i="201"/>
  <c r="F151" i="200"/>
  <c r="B161" i="200"/>
  <c r="D156" i="200"/>
  <c r="C156" i="200"/>
  <c r="F151" i="199"/>
  <c r="B161" i="199"/>
  <c r="D156" i="199"/>
  <c r="C156" i="199"/>
  <c r="F151" i="198"/>
  <c r="B161" i="198"/>
  <c r="D156" i="198"/>
  <c r="C156" i="198"/>
  <c r="F151" i="194"/>
  <c r="B161" i="194"/>
  <c r="D156" i="194"/>
  <c r="C156" i="194"/>
  <c r="F145" i="193"/>
  <c r="D151" i="193"/>
  <c r="C151" i="193"/>
  <c r="B156" i="193"/>
  <c r="F145" i="192"/>
  <c r="D151" i="192"/>
  <c r="C151" i="192"/>
  <c r="B156" i="192"/>
  <c r="F151" i="191"/>
  <c r="B161" i="191"/>
  <c r="D156" i="191"/>
  <c r="C156" i="191"/>
  <c r="F151" i="190"/>
  <c r="B161" i="190"/>
  <c r="D156" i="190"/>
  <c r="C156" i="190"/>
  <c r="F145" i="189"/>
  <c r="D151" i="189"/>
  <c r="C151" i="189"/>
  <c r="B156" i="189"/>
  <c r="F145" i="188"/>
  <c r="D151" i="188"/>
  <c r="C151" i="188"/>
  <c r="B156" i="188"/>
  <c r="F145" i="187"/>
  <c r="D151" i="187"/>
  <c r="C151" i="187"/>
  <c r="B156" i="187"/>
  <c r="F151" i="186"/>
  <c r="B161" i="186"/>
  <c r="D156" i="186"/>
  <c r="C156" i="186"/>
  <c r="F145" i="185"/>
  <c r="D151" i="185"/>
  <c r="C151" i="185"/>
  <c r="B156" i="185"/>
  <c r="F145" i="184"/>
  <c r="D151" i="184"/>
  <c r="C151" i="184"/>
  <c r="B156" i="184"/>
  <c r="F151" i="183"/>
  <c r="B161" i="183"/>
  <c r="D156" i="183"/>
  <c r="C156" i="183"/>
  <c r="F151" i="182"/>
  <c r="B161" i="182"/>
  <c r="D156" i="182"/>
  <c r="C156" i="182"/>
  <c r="F145" i="181"/>
  <c r="B156" i="181"/>
  <c r="D151" i="181"/>
  <c r="C151" i="181"/>
  <c r="F145" i="180"/>
  <c r="D151" i="180"/>
  <c r="C151" i="180"/>
  <c r="B156" i="180"/>
  <c r="F153" i="179"/>
  <c r="B163" i="179"/>
  <c r="D158" i="179"/>
  <c r="C158" i="179"/>
  <c r="F153" i="178"/>
  <c r="C158" i="178"/>
  <c r="B163" i="178"/>
  <c r="F146" i="176"/>
  <c r="D152" i="176"/>
  <c r="C152" i="176"/>
  <c r="B157" i="176"/>
  <c r="F153" i="174"/>
  <c r="C158" i="174"/>
  <c r="B163" i="174"/>
  <c r="D158" i="174"/>
  <c r="F153" i="173"/>
  <c r="B163" i="173"/>
  <c r="D158" i="173"/>
  <c r="C158" i="173"/>
  <c r="F156" i="172"/>
  <c r="B166" i="172"/>
  <c r="D161" i="172"/>
  <c r="C161" i="172"/>
  <c r="F155" i="171"/>
  <c r="B165" i="171"/>
  <c r="D160" i="171"/>
  <c r="C160" i="171"/>
  <c r="C30" i="39"/>
  <c r="E28" i="39"/>
  <c r="L28" i="39" s="1"/>
  <c r="F27" i="39"/>
  <c r="G27" i="39" s="1"/>
  <c r="D29" i="39"/>
  <c r="A32" i="39"/>
  <c r="K32" i="39" s="1"/>
  <c r="J32" i="39" s="1"/>
  <c r="B31" i="39"/>
  <c r="K31" i="39" s="1"/>
  <c r="J31" i="39" s="1"/>
  <c r="F135" i="1"/>
  <c r="B145" i="1"/>
  <c r="C145" i="1" s="1"/>
  <c r="D140" i="1"/>
  <c r="F145" i="217" a="1"/>
  <c r="F147" i="177" a="1"/>
  <c r="F145" i="196" a="1"/>
  <c r="F156" i="186" a="1"/>
  <c r="F151" i="187" a="1"/>
  <c r="F156" i="191" a="1"/>
  <c r="F156" i="183" a="1"/>
  <c r="F151" i="189" a="1"/>
  <c r="F156" i="199" a="1"/>
  <c r="F151" i="180" a="1"/>
  <c r="F156" i="218" a="1"/>
  <c r="F161" i="172" a="1"/>
  <c r="F151" i="207" a="1"/>
  <c r="F151" i="220" a="1"/>
  <c r="F151" i="188" a="1"/>
  <c r="F145" i="215" a="1"/>
  <c r="F147" i="175" a="1"/>
  <c r="F156" i="212" a="1"/>
  <c r="F158" i="178" a="1"/>
  <c r="F156" i="201" a="1"/>
  <c r="F140" i="1" a="1"/>
  <c r="F158" i="179" a="1"/>
  <c r="F151" i="193" a="1"/>
  <c r="F151" i="214" a="1"/>
  <c r="F145" i="202" a="1"/>
  <c r="F151" i="184" a="1"/>
  <c r="F156" i="206" a="1"/>
  <c r="F145" i="219" a="1"/>
  <c r="F145" i="195" a="1"/>
  <c r="F151" i="192" a="1"/>
  <c r="F156" i="182" a="1"/>
  <c r="F152" i="176" a="1"/>
  <c r="F151" i="185" a="1"/>
  <c r="F151" i="181" a="1"/>
  <c r="F156" i="190" a="1"/>
  <c r="F156" i="203" a="1"/>
  <c r="F158" i="173" a="1"/>
  <c r="F156" i="204" a="1"/>
  <c r="F156" i="216" a="1"/>
  <c r="F151" i="209" a="1"/>
  <c r="F156" i="198" a="1"/>
  <c r="F160" i="171" a="1"/>
  <c r="F145" i="213" a="1"/>
  <c r="F156" i="194" a="1"/>
  <c r="F156" i="200" a="1"/>
  <c r="F151" i="211" a="1"/>
  <c r="F151" i="205" a="1"/>
  <c r="F156" i="208" a="1"/>
  <c r="F145" i="197" a="1"/>
  <c r="F145" i="210" a="1"/>
  <c r="F158" i="174" a="1"/>
  <c r="F145" i="210" l="1"/>
  <c r="F145" i="197"/>
  <c r="F145" i="213"/>
  <c r="F145" i="195"/>
  <c r="F145" i="219"/>
  <c r="F145" i="202"/>
  <c r="F147" i="175"/>
  <c r="F145" i="215"/>
  <c r="F145" i="196"/>
  <c r="F147" i="177"/>
  <c r="F145" i="217"/>
  <c r="D151" i="219"/>
  <c r="C151" i="219"/>
  <c r="B156" i="219"/>
  <c r="D151" i="217"/>
  <c r="C151" i="217"/>
  <c r="B156" i="217"/>
  <c r="D151" i="215"/>
  <c r="C151" i="215"/>
  <c r="B156" i="215"/>
  <c r="D151" i="213"/>
  <c r="C151" i="213"/>
  <c r="B156" i="213"/>
  <c r="D151" i="210"/>
  <c r="C151" i="210"/>
  <c r="B156" i="210"/>
  <c r="D151" i="202"/>
  <c r="C151" i="202"/>
  <c r="B156" i="202"/>
  <c r="D151" i="197"/>
  <c r="C151" i="197"/>
  <c r="B156" i="197"/>
  <c r="D151" i="196"/>
  <c r="C151" i="196"/>
  <c r="B156" i="196"/>
  <c r="D151" i="195"/>
  <c r="C151" i="195"/>
  <c r="B156" i="195"/>
  <c r="C153" i="177"/>
  <c r="D153" i="177"/>
  <c r="B158" i="177"/>
  <c r="D153" i="175"/>
  <c r="C153" i="175"/>
  <c r="B158" i="175"/>
  <c r="F160" i="171"/>
  <c r="F151" i="220"/>
  <c r="B161" i="220"/>
  <c r="D156" i="220"/>
  <c r="C156" i="220"/>
  <c r="F156" i="218"/>
  <c r="B166" i="218"/>
  <c r="D161" i="218"/>
  <c r="C161" i="218"/>
  <c r="F156" i="216"/>
  <c r="B166" i="216"/>
  <c r="D161" i="216"/>
  <c r="C161" i="216"/>
  <c r="F151" i="214"/>
  <c r="B161" i="214"/>
  <c r="D156" i="214"/>
  <c r="C156" i="214"/>
  <c r="F156" i="212"/>
  <c r="B166" i="212"/>
  <c r="D161" i="212"/>
  <c r="C161" i="212"/>
  <c r="F151" i="211"/>
  <c r="B161" i="211"/>
  <c r="D156" i="211"/>
  <c r="C156" i="211"/>
  <c r="F151" i="209"/>
  <c r="B161" i="209"/>
  <c r="D156" i="209"/>
  <c r="C156" i="209"/>
  <c r="F156" i="208"/>
  <c r="B166" i="208"/>
  <c r="D161" i="208"/>
  <c r="C161" i="208"/>
  <c r="F151" i="207"/>
  <c r="B161" i="207"/>
  <c r="D156" i="207"/>
  <c r="C156" i="207"/>
  <c r="F156" i="206"/>
  <c r="B166" i="206"/>
  <c r="D161" i="206"/>
  <c r="C161" i="206"/>
  <c r="F151" i="205"/>
  <c r="B161" i="205"/>
  <c r="D156" i="205"/>
  <c r="C156" i="205"/>
  <c r="F156" i="204"/>
  <c r="B166" i="204"/>
  <c r="D161" i="204"/>
  <c r="C161" i="204"/>
  <c r="F156" i="203"/>
  <c r="B166" i="203"/>
  <c r="D161" i="203"/>
  <c r="C161" i="203"/>
  <c r="F156" i="201"/>
  <c r="B166" i="201"/>
  <c r="D161" i="201"/>
  <c r="C161" i="201"/>
  <c r="F156" i="200"/>
  <c r="B166" i="200"/>
  <c r="D161" i="200"/>
  <c r="C161" i="200"/>
  <c r="F156" i="199"/>
  <c r="B166" i="199"/>
  <c r="D161" i="199"/>
  <c r="C161" i="199"/>
  <c r="F156" i="198"/>
  <c r="B166" i="198"/>
  <c r="D161" i="198"/>
  <c r="C161" i="198"/>
  <c r="F156" i="194"/>
  <c r="B166" i="194"/>
  <c r="D161" i="194"/>
  <c r="C161" i="194"/>
  <c r="F151" i="193"/>
  <c r="D156" i="193"/>
  <c r="B161" i="193"/>
  <c r="C156" i="193"/>
  <c r="F151" i="192"/>
  <c r="B161" i="192"/>
  <c r="D156" i="192"/>
  <c r="C156" i="192"/>
  <c r="F156" i="191"/>
  <c r="B166" i="191"/>
  <c r="D161" i="191"/>
  <c r="C161" i="191"/>
  <c r="F156" i="190"/>
  <c r="B166" i="190"/>
  <c r="D161" i="190"/>
  <c r="C161" i="190"/>
  <c r="F151" i="189"/>
  <c r="C156" i="189"/>
  <c r="B161" i="189"/>
  <c r="D156" i="189"/>
  <c r="F151" i="188"/>
  <c r="C156" i="188"/>
  <c r="B161" i="188"/>
  <c r="D156" i="188"/>
  <c r="F151" i="187"/>
  <c r="B161" i="187"/>
  <c r="D156" i="187"/>
  <c r="C156" i="187"/>
  <c r="F156" i="186"/>
  <c r="B166" i="186"/>
  <c r="D161" i="186"/>
  <c r="C161" i="186"/>
  <c r="F151" i="185"/>
  <c r="B161" i="185"/>
  <c r="D156" i="185"/>
  <c r="C156" i="185"/>
  <c r="F151" i="184"/>
  <c r="B161" i="184"/>
  <c r="D156" i="184"/>
  <c r="C156" i="184"/>
  <c r="F156" i="183"/>
  <c r="B166" i="183"/>
  <c r="D161" i="183"/>
  <c r="C161" i="183"/>
  <c r="F156" i="182"/>
  <c r="B166" i="182"/>
  <c r="D161" i="182"/>
  <c r="C161" i="182"/>
  <c r="F151" i="181"/>
  <c r="B161" i="181"/>
  <c r="D156" i="181"/>
  <c r="C156" i="181"/>
  <c r="F151" i="180"/>
  <c r="B161" i="180"/>
  <c r="D156" i="180"/>
  <c r="C156" i="180"/>
  <c r="F158" i="179"/>
  <c r="B168" i="179"/>
  <c r="D163" i="179"/>
  <c r="C163" i="179"/>
  <c r="F158" i="178"/>
  <c r="B168" i="178"/>
  <c r="D163" i="178"/>
  <c r="C163" i="178"/>
  <c r="F152" i="176"/>
  <c r="B162" i="176"/>
  <c r="C157" i="176"/>
  <c r="D157" i="176"/>
  <c r="F158" i="174"/>
  <c r="B168" i="174"/>
  <c r="D163" i="174"/>
  <c r="C163" i="174"/>
  <c r="F158" i="173"/>
  <c r="B168" i="173"/>
  <c r="D163" i="173"/>
  <c r="C163" i="173"/>
  <c r="F161" i="172"/>
  <c r="B171" i="172"/>
  <c r="D166" i="172"/>
  <c r="C166" i="172"/>
  <c r="B170" i="171"/>
  <c r="D165" i="171"/>
  <c r="C165" i="171"/>
  <c r="C31" i="39"/>
  <c r="E29" i="39"/>
  <c r="L29" i="39" s="1"/>
  <c r="F28" i="39"/>
  <c r="G28" i="39" s="1"/>
  <c r="D30" i="39"/>
  <c r="A33" i="39"/>
  <c r="K33" i="39" s="1"/>
  <c r="J33" i="39" s="1"/>
  <c r="B32" i="39"/>
  <c r="F140" i="1"/>
  <c r="B150" i="1"/>
  <c r="C150" i="1" s="1"/>
  <c r="D145" i="1"/>
  <c r="F151" i="215" a="1"/>
  <c r="F153" i="175" a="1"/>
  <c r="F161" i="208" a="1"/>
  <c r="F151" i="202" a="1"/>
  <c r="F156" i="192" a="1"/>
  <c r="F156" i="189" a="1"/>
  <c r="F161" i="218" a="1"/>
  <c r="F156" i="181" a="1"/>
  <c r="F161" i="204" a="1"/>
  <c r="F151" i="219" a="1"/>
  <c r="F151" i="195" a="1"/>
  <c r="F156" i="211" a="1"/>
  <c r="F163" i="179" a="1"/>
  <c r="F156" i="209" a="1"/>
  <c r="F156" i="187" a="1"/>
  <c r="F161" i="201" a="1"/>
  <c r="F151" i="213" a="1"/>
  <c r="F156" i="205" a="1"/>
  <c r="F163" i="174" a="1"/>
  <c r="F157" i="176" a="1"/>
  <c r="F145" i="1" a="1"/>
  <c r="F161" i="183" a="1"/>
  <c r="F161" i="212" a="1"/>
  <c r="F161" i="194" a="1"/>
  <c r="F161" i="182" a="1"/>
  <c r="F151" i="197" a="1"/>
  <c r="F161" i="198" a="1"/>
  <c r="F161" i="206" a="1"/>
  <c r="F151" i="217" a="1"/>
  <c r="F161" i="191" a="1"/>
  <c r="F156" i="184" a="1"/>
  <c r="F156" i="214" a="1"/>
  <c r="F161" i="216" a="1"/>
  <c r="F161" i="186" a="1"/>
  <c r="F151" i="210" a="1"/>
  <c r="F161" i="199" a="1"/>
  <c r="F156" i="185" a="1"/>
  <c r="F156" i="188" a="1"/>
  <c r="F161" i="203" a="1"/>
  <c r="F165" i="171" a="1"/>
  <c r="F151" i="196" a="1"/>
  <c r="F161" i="200" a="1"/>
  <c r="F156" i="180" a="1"/>
  <c r="F156" i="193" a="1"/>
  <c r="F161" i="190" a="1"/>
  <c r="F156" i="207" a="1"/>
  <c r="F166" i="172" a="1"/>
  <c r="F156" i="220" a="1"/>
  <c r="F163" i="173" a="1"/>
  <c r="F163" i="178" a="1"/>
  <c r="F151" i="196" l="1"/>
  <c r="F151" i="210"/>
  <c r="F151" i="217"/>
  <c r="F151" i="197"/>
  <c r="F151" i="213"/>
  <c r="F151" i="195"/>
  <c r="F151" i="219"/>
  <c r="F151" i="202"/>
  <c r="F153" i="175"/>
  <c r="F151" i="215"/>
  <c r="B161" i="219"/>
  <c r="D156" i="219"/>
  <c r="C156" i="219"/>
  <c r="B161" i="217"/>
  <c r="D156" i="217"/>
  <c r="C156" i="217"/>
  <c r="B161" i="215"/>
  <c r="D156" i="215"/>
  <c r="C156" i="215"/>
  <c r="B161" i="213"/>
  <c r="D156" i="213"/>
  <c r="C156" i="213"/>
  <c r="B161" i="210"/>
  <c r="D156" i="210"/>
  <c r="C156" i="210"/>
  <c r="B161" i="202"/>
  <c r="D156" i="202"/>
  <c r="C156" i="202"/>
  <c r="B161" i="197"/>
  <c r="D156" i="197"/>
  <c r="C156" i="197"/>
  <c r="B161" i="196"/>
  <c r="D156" i="196"/>
  <c r="C156" i="196"/>
  <c r="B161" i="195"/>
  <c r="D156" i="195"/>
  <c r="C156" i="195"/>
  <c r="B163" i="177"/>
  <c r="D158" i="177"/>
  <c r="C158" i="177"/>
  <c r="B163" i="175"/>
  <c r="D158" i="175"/>
  <c r="C158" i="175"/>
  <c r="F156" i="220"/>
  <c r="B166" i="220"/>
  <c r="D161" i="220"/>
  <c r="C161" i="220"/>
  <c r="F161" i="218"/>
  <c r="C166" i="218"/>
  <c r="B171" i="218"/>
  <c r="D166" i="218"/>
  <c r="F161" i="216"/>
  <c r="C166" i="216"/>
  <c r="D166" i="216"/>
  <c r="B171" i="216"/>
  <c r="F156" i="214"/>
  <c r="B166" i="214"/>
  <c r="D161" i="214"/>
  <c r="C161" i="214"/>
  <c r="F161" i="212"/>
  <c r="C166" i="212"/>
  <c r="B171" i="212"/>
  <c r="D166" i="212"/>
  <c r="F156" i="211"/>
  <c r="B166" i="211"/>
  <c r="D161" i="211"/>
  <c r="C161" i="211"/>
  <c r="F156" i="209"/>
  <c r="B166" i="209"/>
  <c r="D161" i="209"/>
  <c r="C161" i="209"/>
  <c r="F161" i="208"/>
  <c r="C166" i="208"/>
  <c r="B171" i="208"/>
  <c r="D166" i="208"/>
  <c r="F156" i="207"/>
  <c r="B166" i="207"/>
  <c r="D161" i="207"/>
  <c r="C161" i="207"/>
  <c r="F161" i="206"/>
  <c r="C166" i="206"/>
  <c r="B171" i="206"/>
  <c r="D166" i="206"/>
  <c r="F156" i="205"/>
  <c r="B166" i="205"/>
  <c r="D161" i="205"/>
  <c r="C161" i="205"/>
  <c r="F161" i="204"/>
  <c r="C166" i="204"/>
  <c r="B171" i="204"/>
  <c r="D166" i="204"/>
  <c r="F161" i="203"/>
  <c r="C166" i="203"/>
  <c r="D166" i="203"/>
  <c r="B171" i="203"/>
  <c r="F161" i="201"/>
  <c r="C166" i="201"/>
  <c r="B171" i="201"/>
  <c r="D166" i="201"/>
  <c r="F161" i="200"/>
  <c r="C166" i="200"/>
  <c r="B171" i="200"/>
  <c r="D166" i="200"/>
  <c r="F161" i="199"/>
  <c r="C166" i="199"/>
  <c r="B171" i="199"/>
  <c r="D166" i="199"/>
  <c r="F161" i="198"/>
  <c r="C166" i="198"/>
  <c r="B171" i="198"/>
  <c r="D166" i="198"/>
  <c r="F161" i="194"/>
  <c r="C166" i="194"/>
  <c r="B171" i="194"/>
  <c r="D166" i="194"/>
  <c r="F156" i="193"/>
  <c r="B166" i="193"/>
  <c r="D161" i="193"/>
  <c r="C161" i="193"/>
  <c r="F156" i="192"/>
  <c r="B166" i="192"/>
  <c r="D161" i="192"/>
  <c r="C161" i="192"/>
  <c r="F161" i="191"/>
  <c r="C166" i="191"/>
  <c r="B171" i="191"/>
  <c r="D166" i="191"/>
  <c r="F161" i="190"/>
  <c r="C166" i="190"/>
  <c r="D166" i="190"/>
  <c r="B171" i="190"/>
  <c r="F156" i="189"/>
  <c r="B166" i="189"/>
  <c r="D161" i="189"/>
  <c r="C161" i="189"/>
  <c r="F156" i="188"/>
  <c r="B166" i="188"/>
  <c r="D161" i="188"/>
  <c r="C161" i="188"/>
  <c r="F156" i="187"/>
  <c r="B166" i="187"/>
  <c r="D161" i="187"/>
  <c r="C161" i="187"/>
  <c r="F161" i="186"/>
  <c r="C166" i="186"/>
  <c r="B171" i="186"/>
  <c r="D166" i="186"/>
  <c r="F156" i="185"/>
  <c r="B166" i="185"/>
  <c r="D161" i="185"/>
  <c r="C161" i="185"/>
  <c r="F156" i="184"/>
  <c r="B166" i="184"/>
  <c r="D161" i="184"/>
  <c r="C161" i="184"/>
  <c r="F161" i="183"/>
  <c r="C166" i="183"/>
  <c r="B171" i="183"/>
  <c r="D166" i="183"/>
  <c r="F161" i="182"/>
  <c r="C166" i="182"/>
  <c r="D166" i="182"/>
  <c r="B171" i="182"/>
  <c r="F156" i="181"/>
  <c r="B166" i="181"/>
  <c r="D161" i="181"/>
  <c r="C161" i="181"/>
  <c r="F156" i="180"/>
  <c r="B166" i="180"/>
  <c r="D161" i="180"/>
  <c r="C161" i="180"/>
  <c r="F163" i="179"/>
  <c r="C168" i="179"/>
  <c r="B173" i="179"/>
  <c r="D168" i="179"/>
  <c r="F163" i="178"/>
  <c r="C168" i="178"/>
  <c r="D168" i="178"/>
  <c r="B173" i="178"/>
  <c r="F157" i="176"/>
  <c r="B167" i="176"/>
  <c r="D162" i="176"/>
  <c r="C162" i="176"/>
  <c r="F163" i="174"/>
  <c r="C168" i="174"/>
  <c r="D168" i="174"/>
  <c r="B173" i="174"/>
  <c r="F163" i="173"/>
  <c r="C168" i="173"/>
  <c r="B173" i="173"/>
  <c r="D168" i="173"/>
  <c r="F166" i="172"/>
  <c r="C171" i="172"/>
  <c r="D171" i="172"/>
  <c r="B176" i="172"/>
  <c r="F165" i="171"/>
  <c r="C170" i="171"/>
  <c r="D170" i="171"/>
  <c r="B175" i="171"/>
  <c r="C32" i="39"/>
  <c r="E30" i="39"/>
  <c r="L30" i="39" s="1"/>
  <c r="F29" i="39"/>
  <c r="G29" i="39" s="1"/>
  <c r="D31" i="39"/>
  <c r="B33" i="39"/>
  <c r="A34" i="39"/>
  <c r="F145" i="1"/>
  <c r="B155" i="1"/>
  <c r="D150" i="1"/>
  <c r="F156" i="215" a="1"/>
  <c r="F168" i="178" a="1"/>
  <c r="F166" i="212" a="1"/>
  <c r="F166" i="201" a="1"/>
  <c r="F156" i="213" a="1"/>
  <c r="F166" i="186" a="1"/>
  <c r="F156" i="202" a="1"/>
  <c r="F158" i="175" a="1"/>
  <c r="F161" i="220" a="1"/>
  <c r="F161" i="180" a="1"/>
  <c r="F171" i="172" a="1"/>
  <c r="F161" i="189" a="1"/>
  <c r="F166" i="200" a="1"/>
  <c r="F156" i="219" a="1"/>
  <c r="F156" i="195" a="1"/>
  <c r="F168" i="179" a="1"/>
  <c r="F161" i="184" a="1"/>
  <c r="F161" i="187" a="1"/>
  <c r="F168" i="174" a="1"/>
  <c r="F161" i="209" a="1"/>
  <c r="F161" i="192" a="1"/>
  <c r="F156" i="197" a="1"/>
  <c r="F166" i="204" a="1"/>
  <c r="F161" i="181" a="1"/>
  <c r="F150" i="1" a="1"/>
  <c r="F166" i="182" a="1"/>
  <c r="F161" i="185" a="1"/>
  <c r="F170" i="171" a="1"/>
  <c r="F156" i="217" a="1"/>
  <c r="F158" i="177" a="1"/>
  <c r="F161" i="207" a="1"/>
  <c r="F166" i="183" a="1"/>
  <c r="F162" i="176" a="1"/>
  <c r="F161" i="205" a="1"/>
  <c r="F166" i="191" a="1"/>
  <c r="F156" i="210" a="1"/>
  <c r="F153" i="177" a="1"/>
  <c r="F168" i="173" a="1"/>
  <c r="F161" i="211" a="1"/>
  <c r="F166" i="199" a="1"/>
  <c r="F161" i="214" a="1"/>
  <c r="F161" i="193" a="1"/>
  <c r="F156" i="196" a="1"/>
  <c r="F166" i="206" a="1"/>
  <c r="F166" i="190" a="1"/>
  <c r="F166" i="218" a="1"/>
  <c r="F166" i="194" a="1"/>
  <c r="F166" i="198" a="1"/>
  <c r="F161" i="188" a="1"/>
  <c r="F166" i="203" a="1"/>
  <c r="F166" i="208" a="1"/>
  <c r="F166" i="216" a="1"/>
  <c r="F156" i="196" l="1"/>
  <c r="F153" i="177"/>
  <c r="F156" i="210"/>
  <c r="F158" i="177"/>
  <c r="F156" i="217"/>
  <c r="F156" i="197"/>
  <c r="F156" i="195"/>
  <c r="F156" i="219"/>
  <c r="F158" i="175"/>
  <c r="F156" i="202"/>
  <c r="F156" i="213"/>
  <c r="F156" i="215"/>
  <c r="B166" i="219"/>
  <c r="D161" i="219"/>
  <c r="C161" i="219"/>
  <c r="B166" i="217"/>
  <c r="D161" i="217"/>
  <c r="C161" i="217"/>
  <c r="B166" i="215"/>
  <c r="D161" i="215"/>
  <c r="C161" i="215"/>
  <c r="B166" i="213"/>
  <c r="D161" i="213"/>
  <c r="C161" i="213"/>
  <c r="B166" i="210"/>
  <c r="D161" i="210"/>
  <c r="C161" i="210"/>
  <c r="B166" i="202"/>
  <c r="D161" i="202"/>
  <c r="C161" i="202"/>
  <c r="B166" i="197"/>
  <c r="D161" i="197"/>
  <c r="C161" i="197"/>
  <c r="B166" i="196"/>
  <c r="D161" i="196"/>
  <c r="C161" i="196"/>
  <c r="B166" i="195"/>
  <c r="D161" i="195"/>
  <c r="C161" i="195"/>
  <c r="D163" i="177"/>
  <c r="C163" i="177"/>
  <c r="B168" i="177"/>
  <c r="B168" i="175"/>
  <c r="C163" i="175"/>
  <c r="D163" i="175"/>
  <c r="F161" i="220"/>
  <c r="C166" i="220"/>
  <c r="D166" i="220"/>
  <c r="B171" i="220"/>
  <c r="F166" i="218"/>
  <c r="B176" i="218"/>
  <c r="D171" i="218"/>
  <c r="C171" i="218"/>
  <c r="F166" i="216"/>
  <c r="B176" i="216"/>
  <c r="D171" i="216"/>
  <c r="C171" i="216"/>
  <c r="F161" i="214"/>
  <c r="C166" i="214"/>
  <c r="D166" i="214"/>
  <c r="B171" i="214"/>
  <c r="F166" i="212"/>
  <c r="B176" i="212"/>
  <c r="D171" i="212"/>
  <c r="C171" i="212"/>
  <c r="F161" i="211"/>
  <c r="C166" i="211"/>
  <c r="B171" i="211"/>
  <c r="D166" i="211"/>
  <c r="F161" i="209"/>
  <c r="C166" i="209"/>
  <c r="B171" i="209"/>
  <c r="D166" i="209"/>
  <c r="F166" i="208"/>
  <c r="B176" i="208"/>
  <c r="D171" i="208"/>
  <c r="C171" i="208"/>
  <c r="F161" i="207"/>
  <c r="C166" i="207"/>
  <c r="D166" i="207"/>
  <c r="B171" i="207"/>
  <c r="F166" i="206"/>
  <c r="B176" i="206"/>
  <c r="D171" i="206"/>
  <c r="C171" i="206"/>
  <c r="F161" i="205"/>
  <c r="C166" i="205"/>
  <c r="D166" i="205"/>
  <c r="B171" i="205"/>
  <c r="F166" i="204"/>
  <c r="B176" i="204"/>
  <c r="D171" i="204"/>
  <c r="C171" i="204"/>
  <c r="F166" i="203"/>
  <c r="B176" i="203"/>
  <c r="D171" i="203"/>
  <c r="C171" i="203"/>
  <c r="F166" i="201"/>
  <c r="B176" i="201"/>
  <c r="D171" i="201"/>
  <c r="C171" i="201"/>
  <c r="F166" i="200"/>
  <c r="B176" i="200"/>
  <c r="D171" i="200"/>
  <c r="C171" i="200"/>
  <c r="F166" i="199"/>
  <c r="B176" i="199"/>
  <c r="D171" i="199"/>
  <c r="C171" i="199"/>
  <c r="F166" i="198"/>
  <c r="B176" i="198"/>
  <c r="D171" i="198"/>
  <c r="C171" i="198"/>
  <c r="F166" i="194"/>
  <c r="B176" i="194"/>
  <c r="D171" i="194"/>
  <c r="C171" i="194"/>
  <c r="F161" i="193"/>
  <c r="C166" i="193"/>
  <c r="B171" i="193"/>
  <c r="D166" i="193"/>
  <c r="F161" i="192"/>
  <c r="C166" i="192"/>
  <c r="B171" i="192"/>
  <c r="D166" i="192"/>
  <c r="F166" i="191"/>
  <c r="B176" i="191"/>
  <c r="D171" i="191"/>
  <c r="C171" i="191"/>
  <c r="F166" i="190"/>
  <c r="B176" i="190"/>
  <c r="D171" i="190"/>
  <c r="C171" i="190"/>
  <c r="F161" i="189"/>
  <c r="C166" i="189"/>
  <c r="D166" i="189"/>
  <c r="B171" i="189"/>
  <c r="F161" i="188"/>
  <c r="C166" i="188"/>
  <c r="D166" i="188"/>
  <c r="B171" i="188"/>
  <c r="F161" i="187"/>
  <c r="C166" i="187"/>
  <c r="B171" i="187"/>
  <c r="D166" i="187"/>
  <c r="F166" i="186"/>
  <c r="B176" i="186"/>
  <c r="D171" i="186"/>
  <c r="C171" i="186"/>
  <c r="F161" i="185"/>
  <c r="C166" i="185"/>
  <c r="B171" i="185"/>
  <c r="D166" i="185"/>
  <c r="F161" i="184"/>
  <c r="C166" i="184"/>
  <c r="B171" i="184"/>
  <c r="D166" i="184"/>
  <c r="F166" i="183"/>
  <c r="B176" i="183"/>
  <c r="D171" i="183"/>
  <c r="C171" i="183"/>
  <c r="F166" i="182"/>
  <c r="B176" i="182"/>
  <c r="D171" i="182"/>
  <c r="C171" i="182"/>
  <c r="F161" i="181"/>
  <c r="C166" i="181"/>
  <c r="D166" i="181"/>
  <c r="B171" i="181"/>
  <c r="F161" i="180"/>
  <c r="C166" i="180"/>
  <c r="B171" i="180"/>
  <c r="D166" i="180"/>
  <c r="F168" i="179"/>
  <c r="B178" i="179"/>
  <c r="D173" i="179"/>
  <c r="C173" i="179"/>
  <c r="F168" i="178"/>
  <c r="B178" i="178"/>
  <c r="D173" i="178"/>
  <c r="C173" i="178"/>
  <c r="F162" i="176"/>
  <c r="C167" i="176"/>
  <c r="B172" i="176"/>
  <c r="D167" i="176"/>
  <c r="F168" i="174"/>
  <c r="B178" i="174"/>
  <c r="D173" i="174"/>
  <c r="C173" i="174"/>
  <c r="F168" i="173"/>
  <c r="B178" i="173"/>
  <c r="D173" i="173"/>
  <c r="C173" i="173"/>
  <c r="F171" i="172"/>
  <c r="B181" i="172"/>
  <c r="D176" i="172"/>
  <c r="C176" i="172"/>
  <c r="F170" i="171"/>
  <c r="B180" i="171"/>
  <c r="D175" i="171"/>
  <c r="C175" i="171"/>
  <c r="C33" i="39"/>
  <c r="E31" i="39"/>
  <c r="L31" i="39" s="1"/>
  <c r="F30" i="39"/>
  <c r="G30" i="39" s="1"/>
  <c r="D32" i="39"/>
  <c r="B34" i="39"/>
  <c r="K34" i="39" s="1"/>
  <c r="J34" i="39" s="1"/>
  <c r="A35" i="39"/>
  <c r="K35" i="39" s="1"/>
  <c r="J35" i="39" s="1"/>
  <c r="C155" i="1"/>
  <c r="B160" i="1"/>
  <c r="F150" i="1"/>
  <c r="D155" i="1"/>
  <c r="F161" i="210" a="1"/>
  <c r="F171" i="216" a="1"/>
  <c r="F171" i="183" a="1"/>
  <c r="F171" i="208" a="1"/>
  <c r="F161" i="196" a="1"/>
  <c r="F171" i="186" a="1"/>
  <c r="F166" i="211" a="1"/>
  <c r="F166" i="188" a="1"/>
  <c r="F171" i="191" a="1"/>
  <c r="F171" i="198" a="1"/>
  <c r="F161" i="215" a="1"/>
  <c r="F166" i="207" a="1"/>
  <c r="F173" i="173" a="1"/>
  <c r="F173" i="174" a="1"/>
  <c r="F176" i="172" a="1"/>
  <c r="F171" i="203" a="1"/>
  <c r="F161" i="202" a="1"/>
  <c r="F166" i="209" a="1"/>
  <c r="F167" i="176" a="1"/>
  <c r="F171" i="206" a="1"/>
  <c r="F171" i="182" a="1"/>
  <c r="F173" i="178" a="1"/>
  <c r="F166" i="193" a="1"/>
  <c r="F161" i="219" a="1"/>
  <c r="F161" i="195" a="1"/>
  <c r="F166" i="181" a="1"/>
  <c r="F166" i="180" a="1"/>
  <c r="F166" i="185" a="1"/>
  <c r="F166" i="205" a="1"/>
  <c r="F171" i="194" a="1"/>
  <c r="F171" i="212" a="1"/>
  <c r="F175" i="171" a="1"/>
  <c r="F166" i="189" a="1"/>
  <c r="F161" i="213" a="1"/>
  <c r="F155" i="1" a="1"/>
  <c r="F166" i="214" a="1"/>
  <c r="F166" i="220" a="1"/>
  <c r="F171" i="201" a="1"/>
  <c r="F173" i="179" a="1"/>
  <c r="F161" i="197" a="1"/>
  <c r="F163" i="177" a="1"/>
  <c r="F166" i="192" a="1"/>
  <c r="F171" i="218" a="1"/>
  <c r="F166" i="184" a="1"/>
  <c r="F171" i="199" a="1"/>
  <c r="F171" i="200" a="1"/>
  <c r="F161" i="217" a="1"/>
  <c r="F171" i="190" a="1"/>
  <c r="F166" i="187" a="1"/>
  <c r="F171" i="204" a="1"/>
  <c r="F161" i="217" l="1"/>
  <c r="F163" i="177"/>
  <c r="F161" i="197"/>
  <c r="F161" i="213"/>
  <c r="F161" i="195"/>
  <c r="F161" i="219"/>
  <c r="F161" i="202"/>
  <c r="F161" i="215"/>
  <c r="F161" i="196"/>
  <c r="F161" i="210"/>
  <c r="C166" i="219"/>
  <c r="B171" i="219"/>
  <c r="D166" i="219"/>
  <c r="C166" i="217"/>
  <c r="B171" i="217"/>
  <c r="D166" i="217"/>
  <c r="C166" i="215"/>
  <c r="B171" i="215"/>
  <c r="D166" i="215"/>
  <c r="C166" i="213"/>
  <c r="B171" i="213"/>
  <c r="D166" i="213"/>
  <c r="C166" i="210"/>
  <c r="B171" i="210"/>
  <c r="D166" i="210"/>
  <c r="C166" i="202"/>
  <c r="B171" i="202"/>
  <c r="D166" i="202"/>
  <c r="C166" i="197"/>
  <c r="B171" i="197"/>
  <c r="D166" i="197"/>
  <c r="C166" i="196"/>
  <c r="B171" i="196"/>
  <c r="D166" i="196"/>
  <c r="C166" i="195"/>
  <c r="B171" i="195"/>
  <c r="D166" i="195"/>
  <c r="C168" i="177"/>
  <c r="B173" i="177"/>
  <c r="D168" i="177"/>
  <c r="C168" i="175"/>
  <c r="B173" i="175"/>
  <c r="D168" i="175"/>
  <c r="F166" i="220"/>
  <c r="B176" i="220"/>
  <c r="D171" i="220"/>
  <c r="C171" i="220"/>
  <c r="F171" i="218"/>
  <c r="D176" i="218"/>
  <c r="C176" i="218"/>
  <c r="B181" i="218"/>
  <c r="F171" i="216"/>
  <c r="D176" i="216"/>
  <c r="C176" i="216"/>
  <c r="B181" i="216"/>
  <c r="F166" i="214"/>
  <c r="B176" i="214"/>
  <c r="D171" i="214"/>
  <c r="C171" i="214"/>
  <c r="F171" i="212"/>
  <c r="D176" i="212"/>
  <c r="C176" i="212"/>
  <c r="B181" i="212"/>
  <c r="F166" i="211"/>
  <c r="B176" i="211"/>
  <c r="D171" i="211"/>
  <c r="C171" i="211"/>
  <c r="F166" i="209"/>
  <c r="B176" i="209"/>
  <c r="D171" i="209"/>
  <c r="C171" i="209"/>
  <c r="F171" i="208"/>
  <c r="D176" i="208"/>
  <c r="C176" i="208"/>
  <c r="B181" i="208"/>
  <c r="F166" i="207"/>
  <c r="B176" i="207"/>
  <c r="D171" i="207"/>
  <c r="C171" i="207"/>
  <c r="F171" i="206"/>
  <c r="D176" i="206"/>
  <c r="C176" i="206"/>
  <c r="B181" i="206"/>
  <c r="F166" i="205"/>
  <c r="B176" i="205"/>
  <c r="D171" i="205"/>
  <c r="C171" i="205"/>
  <c r="F171" i="204"/>
  <c r="D176" i="204"/>
  <c r="C176" i="204"/>
  <c r="B181" i="204"/>
  <c r="F171" i="203"/>
  <c r="D176" i="203"/>
  <c r="C176" i="203"/>
  <c r="B181" i="203"/>
  <c r="F171" i="201"/>
  <c r="D176" i="201"/>
  <c r="C176" i="201"/>
  <c r="B181" i="201"/>
  <c r="F171" i="200"/>
  <c r="D176" i="200"/>
  <c r="C176" i="200"/>
  <c r="B181" i="200"/>
  <c r="F171" i="199"/>
  <c r="D176" i="199"/>
  <c r="C176" i="199"/>
  <c r="B181" i="199"/>
  <c r="F171" i="198"/>
  <c r="D176" i="198"/>
  <c r="C176" i="198"/>
  <c r="B181" i="198"/>
  <c r="F171" i="194"/>
  <c r="D176" i="194"/>
  <c r="C176" i="194"/>
  <c r="B181" i="194"/>
  <c r="F166" i="193"/>
  <c r="B176" i="193"/>
  <c r="D171" i="193"/>
  <c r="C171" i="193"/>
  <c r="F166" i="192"/>
  <c r="B176" i="192"/>
  <c r="D171" i="192"/>
  <c r="C171" i="192"/>
  <c r="F171" i="191"/>
  <c r="D176" i="191"/>
  <c r="C176" i="191"/>
  <c r="B181" i="191"/>
  <c r="F171" i="190"/>
  <c r="D176" i="190"/>
  <c r="C176" i="190"/>
  <c r="B181" i="190"/>
  <c r="F166" i="189"/>
  <c r="B176" i="189"/>
  <c r="D171" i="189"/>
  <c r="C171" i="189"/>
  <c r="F166" i="188"/>
  <c r="B176" i="188"/>
  <c r="D171" i="188"/>
  <c r="C171" i="188"/>
  <c r="F166" i="187"/>
  <c r="B176" i="187"/>
  <c r="D171" i="187"/>
  <c r="C171" i="187"/>
  <c r="F171" i="186"/>
  <c r="D176" i="186"/>
  <c r="C176" i="186"/>
  <c r="B181" i="186"/>
  <c r="F166" i="185"/>
  <c r="B176" i="185"/>
  <c r="D171" i="185"/>
  <c r="C171" i="185"/>
  <c r="F166" i="184"/>
  <c r="B176" i="184"/>
  <c r="D171" i="184"/>
  <c r="C171" i="184"/>
  <c r="F171" i="183"/>
  <c r="D176" i="183"/>
  <c r="C176" i="183"/>
  <c r="B181" i="183"/>
  <c r="F171" i="182"/>
  <c r="D176" i="182"/>
  <c r="C176" i="182"/>
  <c r="B181" i="182"/>
  <c r="F166" i="181"/>
  <c r="B176" i="181"/>
  <c r="D171" i="181"/>
  <c r="C171" i="181"/>
  <c r="F166" i="180"/>
  <c r="B176" i="180"/>
  <c r="D171" i="180"/>
  <c r="C171" i="180"/>
  <c r="F173" i="179"/>
  <c r="D178" i="179"/>
  <c r="C178" i="179"/>
  <c r="B183" i="179"/>
  <c r="F173" i="178"/>
  <c r="D178" i="178"/>
  <c r="C178" i="178"/>
  <c r="B183" i="178"/>
  <c r="F167" i="176"/>
  <c r="B177" i="176"/>
  <c r="D172" i="176"/>
  <c r="C172" i="176"/>
  <c r="F173" i="174"/>
  <c r="D178" i="174"/>
  <c r="C178" i="174"/>
  <c r="B183" i="174"/>
  <c r="F173" i="173"/>
  <c r="D178" i="173"/>
  <c r="C178" i="173"/>
  <c r="B183" i="173"/>
  <c r="F176" i="172"/>
  <c r="D181" i="172"/>
  <c r="C181" i="172"/>
  <c r="B186" i="172"/>
  <c r="F175" i="171"/>
  <c r="D180" i="171"/>
  <c r="C180" i="171"/>
  <c r="B185" i="171"/>
  <c r="E32" i="39"/>
  <c r="L32" i="39" s="1"/>
  <c r="C34" i="39"/>
  <c r="F31" i="39"/>
  <c r="G31" i="39" s="1"/>
  <c r="D33" i="39"/>
  <c r="B35" i="39"/>
  <c r="A36" i="39"/>
  <c r="K36" i="39" s="1"/>
  <c r="J36" i="39" s="1"/>
  <c r="B165" i="1"/>
  <c r="C160" i="1"/>
  <c r="F155" i="1"/>
  <c r="D160" i="1"/>
  <c r="F176" i="208" a="1"/>
  <c r="F172" i="176" a="1"/>
  <c r="F171" i="184" a="1"/>
  <c r="F176" i="199" a="1"/>
  <c r="F171" i="180" a="1"/>
  <c r="F176" i="203" a="1"/>
  <c r="F181" i="172" a="1"/>
  <c r="F176" i="186" a="1"/>
  <c r="F176" i="191" a="1"/>
  <c r="F176" i="194" a="1"/>
  <c r="F178" i="179" a="1"/>
  <c r="F176" i="212" a="1"/>
  <c r="F171" i="193" a="1"/>
  <c r="F176" i="200" a="1"/>
  <c r="F171" i="189" a="1"/>
  <c r="F176" i="206" a="1"/>
  <c r="F171" i="220" a="1"/>
  <c r="F176" i="204" a="1"/>
  <c r="F171" i="211" a="1"/>
  <c r="F171" i="185" a="1"/>
  <c r="F176" i="201" a="1"/>
  <c r="F171" i="192" a="1"/>
  <c r="F176" i="198" a="1"/>
  <c r="F176" i="182" a="1"/>
  <c r="F176" i="218" a="1"/>
  <c r="F171" i="188" a="1"/>
  <c r="F176" i="216" a="1"/>
  <c r="F163" i="175" a="1"/>
  <c r="F171" i="207" a="1"/>
  <c r="F171" i="209" a="1"/>
  <c r="F171" i="187" a="1"/>
  <c r="F176" i="190" a="1"/>
  <c r="F178" i="178" a="1"/>
  <c r="F180" i="171" a="1"/>
  <c r="F171" i="205" a="1"/>
  <c r="F171" i="181" a="1"/>
  <c r="F178" i="174" a="1"/>
  <c r="F160" i="1" a="1"/>
  <c r="F178" i="173" a="1"/>
  <c r="F171" i="214" a="1"/>
  <c r="F176" i="183" a="1"/>
  <c r="F163" i="175" l="1"/>
  <c r="B176" i="219"/>
  <c r="D171" i="219"/>
  <c r="C171" i="219"/>
  <c r="B176" i="217"/>
  <c r="D171" i="217"/>
  <c r="C171" i="217"/>
  <c r="B176" i="215"/>
  <c r="D171" i="215"/>
  <c r="C171" i="215"/>
  <c r="B176" i="213"/>
  <c r="D171" i="213"/>
  <c r="C171" i="213"/>
  <c r="B176" i="210"/>
  <c r="D171" i="210"/>
  <c r="C171" i="210"/>
  <c r="B176" i="202"/>
  <c r="D171" i="202"/>
  <c r="C171" i="202"/>
  <c r="B176" i="197"/>
  <c r="D171" i="197"/>
  <c r="C171" i="197"/>
  <c r="B176" i="196"/>
  <c r="D171" i="196"/>
  <c r="C171" i="196"/>
  <c r="B176" i="195"/>
  <c r="D171" i="195"/>
  <c r="C171" i="195"/>
  <c r="B178" i="177"/>
  <c r="D173" i="177"/>
  <c r="C173" i="177"/>
  <c r="B178" i="175"/>
  <c r="D173" i="175"/>
  <c r="C173" i="175"/>
  <c r="F171" i="220"/>
  <c r="D176" i="220"/>
  <c r="C176" i="220"/>
  <c r="B181" i="220"/>
  <c r="F176" i="218"/>
  <c r="B186" i="218"/>
  <c r="D181" i="218"/>
  <c r="C181" i="218"/>
  <c r="F176" i="216"/>
  <c r="B186" i="216"/>
  <c r="D181" i="216"/>
  <c r="C181" i="216"/>
  <c r="F171" i="214"/>
  <c r="D176" i="214"/>
  <c r="C176" i="214"/>
  <c r="B181" i="214"/>
  <c r="F176" i="212"/>
  <c r="B186" i="212"/>
  <c r="D181" i="212"/>
  <c r="C181" i="212"/>
  <c r="F171" i="211"/>
  <c r="D176" i="211"/>
  <c r="C176" i="211"/>
  <c r="B181" i="211"/>
  <c r="F171" i="209"/>
  <c r="D176" i="209"/>
  <c r="C176" i="209"/>
  <c r="B181" i="209"/>
  <c r="F176" i="208"/>
  <c r="B186" i="208"/>
  <c r="D181" i="208"/>
  <c r="C181" i="208"/>
  <c r="F171" i="207"/>
  <c r="D176" i="207"/>
  <c r="C176" i="207"/>
  <c r="B181" i="207"/>
  <c r="F176" i="206"/>
  <c r="B186" i="206"/>
  <c r="D181" i="206"/>
  <c r="C181" i="206"/>
  <c r="F171" i="205"/>
  <c r="D176" i="205"/>
  <c r="C176" i="205"/>
  <c r="B181" i="205"/>
  <c r="F176" i="204"/>
  <c r="B186" i="204"/>
  <c r="D181" i="204"/>
  <c r="C181" i="204"/>
  <c r="F176" i="203"/>
  <c r="B186" i="203"/>
  <c r="D181" i="203"/>
  <c r="C181" i="203"/>
  <c r="F176" i="201"/>
  <c r="B186" i="201"/>
  <c r="D181" i="201"/>
  <c r="C181" i="201"/>
  <c r="F176" i="200"/>
  <c r="B186" i="200"/>
  <c r="D181" i="200"/>
  <c r="C181" i="200"/>
  <c r="F176" i="199"/>
  <c r="B186" i="199"/>
  <c r="D181" i="199"/>
  <c r="C181" i="199"/>
  <c r="F176" i="198"/>
  <c r="B186" i="198"/>
  <c r="D181" i="198"/>
  <c r="C181" i="198"/>
  <c r="F176" i="194"/>
  <c r="B186" i="194"/>
  <c r="D181" i="194"/>
  <c r="C181" i="194"/>
  <c r="F171" i="193"/>
  <c r="D176" i="193"/>
  <c r="C176" i="193"/>
  <c r="B181" i="193"/>
  <c r="F171" i="192"/>
  <c r="D176" i="192"/>
  <c r="C176" i="192"/>
  <c r="B181" i="192"/>
  <c r="F176" i="191"/>
  <c r="B186" i="191"/>
  <c r="D181" i="191"/>
  <c r="C181" i="191"/>
  <c r="F176" i="190"/>
  <c r="B186" i="190"/>
  <c r="D181" i="190"/>
  <c r="C181" i="190"/>
  <c r="F171" i="189"/>
  <c r="D176" i="189"/>
  <c r="C176" i="189"/>
  <c r="B181" i="189"/>
  <c r="F171" i="188"/>
  <c r="D176" i="188"/>
  <c r="C176" i="188"/>
  <c r="B181" i="188"/>
  <c r="F171" i="187"/>
  <c r="D176" i="187"/>
  <c r="C176" i="187"/>
  <c r="B181" i="187"/>
  <c r="F176" i="186"/>
  <c r="B186" i="186"/>
  <c r="D181" i="186"/>
  <c r="C181" i="186"/>
  <c r="F171" i="185"/>
  <c r="D176" i="185"/>
  <c r="C176" i="185"/>
  <c r="B181" i="185"/>
  <c r="F171" i="184"/>
  <c r="D176" i="184"/>
  <c r="C176" i="184"/>
  <c r="B181" i="184"/>
  <c r="F176" i="183"/>
  <c r="B186" i="183"/>
  <c r="D181" i="183"/>
  <c r="C181" i="183"/>
  <c r="F176" i="182"/>
  <c r="B186" i="182"/>
  <c r="D181" i="182"/>
  <c r="C181" i="182"/>
  <c r="F171" i="181"/>
  <c r="D176" i="181"/>
  <c r="C176" i="181"/>
  <c r="B181" i="181"/>
  <c r="F171" i="180"/>
  <c r="D176" i="180"/>
  <c r="C176" i="180"/>
  <c r="B181" i="180"/>
  <c r="F178" i="179"/>
  <c r="B188" i="179"/>
  <c r="D183" i="179"/>
  <c r="C183" i="179"/>
  <c r="F178" i="178"/>
  <c r="B188" i="178"/>
  <c r="D183" i="178"/>
  <c r="C183" i="178"/>
  <c r="F172" i="176"/>
  <c r="D177" i="176"/>
  <c r="C177" i="176"/>
  <c r="B182" i="176"/>
  <c r="F178" i="174"/>
  <c r="B188" i="174"/>
  <c r="D183" i="174"/>
  <c r="C183" i="174"/>
  <c r="F178" i="173"/>
  <c r="B188" i="173"/>
  <c r="D183" i="173"/>
  <c r="C183" i="173"/>
  <c r="F181" i="172"/>
  <c r="B191" i="172"/>
  <c r="D186" i="172"/>
  <c r="C186" i="172"/>
  <c r="F180" i="171"/>
  <c r="B190" i="171"/>
  <c r="D185" i="171"/>
  <c r="C185" i="171"/>
  <c r="C35" i="39"/>
  <c r="E33" i="39"/>
  <c r="L33" i="39" s="1"/>
  <c r="D34" i="39"/>
  <c r="F32" i="39"/>
  <c r="G32" i="39" s="1"/>
  <c r="A37" i="39"/>
  <c r="K37" i="39" s="1"/>
  <c r="J37" i="39" s="1"/>
  <c r="B36" i="39"/>
  <c r="B170" i="1"/>
  <c r="C165" i="1"/>
  <c r="F160" i="1"/>
  <c r="D165" i="1"/>
  <c r="F171" i="219" a="1"/>
  <c r="F171" i="215" a="1"/>
  <c r="F171" i="210" a="1"/>
  <c r="F171" i="197" a="1"/>
  <c r="F171" i="195" a="1"/>
  <c r="F173" i="175" a="1"/>
  <c r="F181" i="183" a="1"/>
  <c r="F176" i="180" a="1"/>
  <c r="F181" i="208" a="1"/>
  <c r="F186" i="172" a="1"/>
  <c r="F185" i="171" a="1"/>
  <c r="F166" i="219" a="1"/>
  <c r="F166" i="215" a="1"/>
  <c r="F166" i="210" a="1"/>
  <c r="F166" i="197" a="1"/>
  <c r="F166" i="195" a="1"/>
  <c r="F168" i="175" a="1"/>
  <c r="F181" i="190" a="1"/>
  <c r="F176" i="187" a="1"/>
  <c r="F177" i="176" a="1"/>
  <c r="F176" i="207" a="1"/>
  <c r="F181" i="200" a="1"/>
  <c r="F181" i="194" a="1"/>
  <c r="F181" i="191" a="1"/>
  <c r="F183" i="174" a="1"/>
  <c r="F181" i="186" a="1"/>
  <c r="F181" i="206" a="1"/>
  <c r="F165" i="1" a="1"/>
  <c r="F181" i="218" a="1"/>
  <c r="F176" i="192" a="1"/>
  <c r="F176" i="209" a="1"/>
  <c r="F183" i="178" a="1"/>
  <c r="F181" i="216" a="1"/>
  <c r="F181" i="203" a="1"/>
  <c r="F181" i="199" a="1"/>
  <c r="F171" i="217" a="1"/>
  <c r="F171" i="213" a="1"/>
  <c r="F171" i="202" a="1"/>
  <c r="F171" i="196" a="1"/>
  <c r="F173" i="177" a="1"/>
  <c r="F176" i="211" a="1"/>
  <c r="F183" i="179" a="1"/>
  <c r="F176" i="185" a="1"/>
  <c r="F176" i="214" a="1"/>
  <c r="F181" i="212" a="1"/>
  <c r="F166" i="217" a="1"/>
  <c r="F166" i="213" a="1"/>
  <c r="F166" i="202" a="1"/>
  <c r="F166" i="196" a="1"/>
  <c r="F168" i="177" a="1"/>
  <c r="F181" i="182" a="1"/>
  <c r="F176" i="193" a="1"/>
  <c r="F176" i="181" a="1"/>
  <c r="F176" i="189" a="1"/>
  <c r="F183" i="173" a="1"/>
  <c r="F176" i="188" a="1"/>
  <c r="F176" i="184" a="1"/>
  <c r="F181" i="201" a="1"/>
  <c r="F181" i="198" a="1"/>
  <c r="F181" i="204" a="1"/>
  <c r="F176" i="220" a="1"/>
  <c r="F176" i="205" a="1"/>
  <c r="F168" i="177" l="1"/>
  <c r="F166" i="196"/>
  <c r="F166" i="202"/>
  <c r="F166" i="213"/>
  <c r="F166" i="217"/>
  <c r="F173" i="177"/>
  <c r="F171" i="196"/>
  <c r="F171" i="202"/>
  <c r="F171" i="213"/>
  <c r="F171" i="217"/>
  <c r="F168" i="175"/>
  <c r="F166" i="195"/>
  <c r="F166" i="197"/>
  <c r="F166" i="210"/>
  <c r="F166" i="215"/>
  <c r="F166" i="219"/>
  <c r="F173" i="175"/>
  <c r="F171" i="195"/>
  <c r="F171" i="197"/>
  <c r="F171" i="210"/>
  <c r="F171" i="215"/>
  <c r="F171" i="219"/>
  <c r="D176" i="219"/>
  <c r="C176" i="219"/>
  <c r="B181" i="219"/>
  <c r="C176" i="217"/>
  <c r="D176" i="217"/>
  <c r="B181" i="217"/>
  <c r="D176" i="215"/>
  <c r="C176" i="215"/>
  <c r="B181" i="215"/>
  <c r="D176" i="213"/>
  <c r="C176" i="213"/>
  <c r="B181" i="213"/>
  <c r="D176" i="210"/>
  <c r="C176" i="210"/>
  <c r="B181" i="210"/>
  <c r="D176" i="202"/>
  <c r="C176" i="202"/>
  <c r="B181" i="202"/>
  <c r="D176" i="197"/>
  <c r="C176" i="197"/>
  <c r="B181" i="197"/>
  <c r="D176" i="196"/>
  <c r="C176" i="196"/>
  <c r="B181" i="196"/>
  <c r="D176" i="195"/>
  <c r="C176" i="195"/>
  <c r="B181" i="195"/>
  <c r="C178" i="177"/>
  <c r="B183" i="177"/>
  <c r="D178" i="177"/>
  <c r="D178" i="175"/>
  <c r="C178" i="175"/>
  <c r="B183" i="175"/>
  <c r="F176" i="220"/>
  <c r="B186" i="220"/>
  <c r="D181" i="220"/>
  <c r="C181" i="220"/>
  <c r="F181" i="218"/>
  <c r="B191" i="218"/>
  <c r="D186" i="218"/>
  <c r="C186" i="218"/>
  <c r="F181" i="216"/>
  <c r="B191" i="216"/>
  <c r="D186" i="216"/>
  <c r="C186" i="216"/>
  <c r="F176" i="214"/>
  <c r="B186" i="214"/>
  <c r="D181" i="214"/>
  <c r="C181" i="214"/>
  <c r="F181" i="212"/>
  <c r="B191" i="212"/>
  <c r="D186" i="212"/>
  <c r="C186" i="212"/>
  <c r="F176" i="211"/>
  <c r="B186" i="211"/>
  <c r="D181" i="211"/>
  <c r="C181" i="211"/>
  <c r="F176" i="209"/>
  <c r="B186" i="209"/>
  <c r="D181" i="209"/>
  <c r="C181" i="209"/>
  <c r="F181" i="208"/>
  <c r="B191" i="208"/>
  <c r="D186" i="208"/>
  <c r="C186" i="208"/>
  <c r="F176" i="207"/>
  <c r="B186" i="207"/>
  <c r="D181" i="207"/>
  <c r="C181" i="207"/>
  <c r="F181" i="206"/>
  <c r="B191" i="206"/>
  <c r="D186" i="206"/>
  <c r="C186" i="206"/>
  <c r="F176" i="205"/>
  <c r="B186" i="205"/>
  <c r="D181" i="205"/>
  <c r="C181" i="205"/>
  <c r="F181" i="204"/>
  <c r="B191" i="204"/>
  <c r="D186" i="204"/>
  <c r="C186" i="204"/>
  <c r="F181" i="203"/>
  <c r="B191" i="203"/>
  <c r="D186" i="203"/>
  <c r="C186" i="203"/>
  <c r="F181" i="201"/>
  <c r="B191" i="201"/>
  <c r="D186" i="201"/>
  <c r="C186" i="201"/>
  <c r="F181" i="200"/>
  <c r="B191" i="200"/>
  <c r="D186" i="200"/>
  <c r="C186" i="200"/>
  <c r="F181" i="199"/>
  <c r="B191" i="199"/>
  <c r="D186" i="199"/>
  <c r="C186" i="199"/>
  <c r="F181" i="198"/>
  <c r="B191" i="198"/>
  <c r="D186" i="198"/>
  <c r="C186" i="198"/>
  <c r="F181" i="194"/>
  <c r="B191" i="194"/>
  <c r="D186" i="194"/>
  <c r="C186" i="194"/>
  <c r="F176" i="193"/>
  <c r="B186" i="193"/>
  <c r="D181" i="193"/>
  <c r="C181" i="193"/>
  <c r="F176" i="192"/>
  <c r="B186" i="192"/>
  <c r="D181" i="192"/>
  <c r="C181" i="192"/>
  <c r="F181" i="191"/>
  <c r="B191" i="191"/>
  <c r="D186" i="191"/>
  <c r="C186" i="191"/>
  <c r="F181" i="190"/>
  <c r="B191" i="190"/>
  <c r="D186" i="190"/>
  <c r="C186" i="190"/>
  <c r="F176" i="189"/>
  <c r="B186" i="189"/>
  <c r="D181" i="189"/>
  <c r="C181" i="189"/>
  <c r="F176" i="188"/>
  <c r="B186" i="188"/>
  <c r="D181" i="188"/>
  <c r="C181" i="188"/>
  <c r="F176" i="187"/>
  <c r="B186" i="187"/>
  <c r="D181" i="187"/>
  <c r="C181" i="187"/>
  <c r="F181" i="186"/>
  <c r="B191" i="186"/>
  <c r="D186" i="186"/>
  <c r="C186" i="186"/>
  <c r="F176" i="185"/>
  <c r="B186" i="185"/>
  <c r="C181" i="185"/>
  <c r="D181" i="185"/>
  <c r="F176" i="184"/>
  <c r="B186" i="184"/>
  <c r="D181" i="184"/>
  <c r="C181" i="184"/>
  <c r="F181" i="183"/>
  <c r="B191" i="183"/>
  <c r="D186" i="183"/>
  <c r="C186" i="183"/>
  <c r="F181" i="182"/>
  <c r="B191" i="182"/>
  <c r="D186" i="182"/>
  <c r="C186" i="182"/>
  <c r="F176" i="181"/>
  <c r="B186" i="181"/>
  <c r="D181" i="181"/>
  <c r="C181" i="181"/>
  <c r="F176" i="180"/>
  <c r="B186" i="180"/>
  <c r="D181" i="180"/>
  <c r="C181" i="180"/>
  <c r="F183" i="179"/>
  <c r="B193" i="179"/>
  <c r="D188" i="179"/>
  <c r="C188" i="179"/>
  <c r="F183" i="178"/>
  <c r="B193" i="178"/>
  <c r="D188" i="178"/>
  <c r="C188" i="178"/>
  <c r="F177" i="176"/>
  <c r="B187" i="176"/>
  <c r="D182" i="176"/>
  <c r="C182" i="176"/>
  <c r="F183" i="174"/>
  <c r="B193" i="174"/>
  <c r="D188" i="174"/>
  <c r="C188" i="174"/>
  <c r="F183" i="173"/>
  <c r="B193" i="173"/>
  <c r="D188" i="173"/>
  <c r="C188" i="173"/>
  <c r="F186" i="172"/>
  <c r="B196" i="172"/>
  <c r="D191" i="172"/>
  <c r="C191" i="172"/>
  <c r="F185" i="171"/>
  <c r="B195" i="171"/>
  <c r="D190" i="171"/>
  <c r="C190" i="171"/>
  <c r="C36" i="39"/>
  <c r="E34" i="39"/>
  <c r="L34" i="39" s="1"/>
  <c r="F33" i="39"/>
  <c r="G33" i="39" s="1"/>
  <c r="D35" i="39"/>
  <c r="A38" i="39"/>
  <c r="K38" i="39" s="1"/>
  <c r="J38" i="39" s="1"/>
  <c r="B37" i="39"/>
  <c r="C170" i="1"/>
  <c r="B175" i="1"/>
  <c r="F165" i="1"/>
  <c r="D170" i="1"/>
  <c r="F182" i="176" a="1"/>
  <c r="F181" i="205" a="1"/>
  <c r="F186" i="200" a="1"/>
  <c r="F176" i="210" a="1"/>
  <c r="F181" i="209" a="1"/>
  <c r="F186" i="198" a="1"/>
  <c r="F188" i="179" a="1"/>
  <c r="F181" i="193" a="1"/>
  <c r="F186" i="216" a="1"/>
  <c r="F176" i="196" a="1"/>
  <c r="F188" i="178" a="1"/>
  <c r="F186" i="191" a="1"/>
  <c r="F181" i="207" a="1"/>
  <c r="F186" i="182" a="1"/>
  <c r="F176" i="215" a="1"/>
  <c r="F178" i="175" a="1"/>
  <c r="F181" i="189" a="1"/>
  <c r="F191" i="172" a="1"/>
  <c r="F186" i="183" a="1"/>
  <c r="F170" i="1" a="1"/>
  <c r="F181" i="214" a="1"/>
  <c r="F188" i="174" a="1"/>
  <c r="F186" i="212" a="1"/>
  <c r="F176" i="202" a="1"/>
  <c r="F181" i="188" a="1"/>
  <c r="F186" i="194" a="1"/>
  <c r="F176" i="219" a="1"/>
  <c r="F176" i="195" a="1"/>
  <c r="F181" i="192" a="1"/>
  <c r="F186" i="203" a="1"/>
  <c r="F186" i="190" a="1"/>
  <c r="F186" i="218" a="1"/>
  <c r="F186" i="201" a="1"/>
  <c r="F176" i="213" a="1"/>
  <c r="F186" i="206" a="1"/>
  <c r="F186" i="204" a="1"/>
  <c r="F188" i="173" a="1"/>
  <c r="F186" i="199" a="1"/>
  <c r="F190" i="171" a="1"/>
  <c r="F176" i="197" a="1"/>
  <c r="F186" i="186" a="1"/>
  <c r="F181" i="211" a="1"/>
  <c r="F181" i="184" a="1"/>
  <c r="F181" i="180" a="1"/>
  <c r="F186" i="208" a="1"/>
  <c r="F181" i="187" a="1"/>
  <c r="F181" i="220" a="1"/>
  <c r="F181" i="181" a="1"/>
  <c r="F181" i="185" a="1"/>
  <c r="F176" i="197" l="1"/>
  <c r="F176" i="213"/>
  <c r="F176" i="195"/>
  <c r="F176" i="219"/>
  <c r="F176" i="202"/>
  <c r="F178" i="175"/>
  <c r="F176" i="215"/>
  <c r="F176" i="196"/>
  <c r="F176" i="210"/>
  <c r="F182" i="176"/>
  <c r="B186" i="219"/>
  <c r="D181" i="219"/>
  <c r="C181" i="219"/>
  <c r="B186" i="217"/>
  <c r="D181" i="217"/>
  <c r="C181" i="217"/>
  <c r="B186" i="215"/>
  <c r="D181" i="215"/>
  <c r="C181" i="215"/>
  <c r="B186" i="213"/>
  <c r="D181" i="213"/>
  <c r="C181" i="213"/>
  <c r="B186" i="210"/>
  <c r="D181" i="210"/>
  <c r="C181" i="210"/>
  <c r="B186" i="202"/>
  <c r="D181" i="202"/>
  <c r="C181" i="202"/>
  <c r="B186" i="197"/>
  <c r="D181" i="197"/>
  <c r="C181" i="197"/>
  <c r="B186" i="196"/>
  <c r="D181" i="196"/>
  <c r="C181" i="196"/>
  <c r="B186" i="195"/>
  <c r="D181" i="195"/>
  <c r="C181" i="195"/>
  <c r="B188" i="177"/>
  <c r="D183" i="177"/>
  <c r="C183" i="177"/>
  <c r="B188" i="175"/>
  <c r="D183" i="175"/>
  <c r="C183" i="175"/>
  <c r="F181" i="220"/>
  <c r="B191" i="220"/>
  <c r="D186" i="220"/>
  <c r="C186" i="220"/>
  <c r="F186" i="218"/>
  <c r="B196" i="218"/>
  <c r="D191" i="218"/>
  <c r="C191" i="218"/>
  <c r="F186" i="216"/>
  <c r="C191" i="216"/>
  <c r="B196" i="216"/>
  <c r="D191" i="216"/>
  <c r="F181" i="214"/>
  <c r="B191" i="214"/>
  <c r="D186" i="214"/>
  <c r="C186" i="214"/>
  <c r="F186" i="212"/>
  <c r="B196" i="212"/>
  <c r="D191" i="212"/>
  <c r="C191" i="212"/>
  <c r="F181" i="211"/>
  <c r="B191" i="211"/>
  <c r="D186" i="211"/>
  <c r="C186" i="211"/>
  <c r="F181" i="209"/>
  <c r="B191" i="209"/>
  <c r="D186" i="209"/>
  <c r="C186" i="209"/>
  <c r="F186" i="208"/>
  <c r="B196" i="208"/>
  <c r="D191" i="208"/>
  <c r="C191" i="208"/>
  <c r="F181" i="207"/>
  <c r="B191" i="207"/>
  <c r="D186" i="207"/>
  <c r="C186" i="207"/>
  <c r="F186" i="206"/>
  <c r="B196" i="206"/>
  <c r="D191" i="206"/>
  <c r="C191" i="206"/>
  <c r="F181" i="205"/>
  <c r="B191" i="205"/>
  <c r="D186" i="205"/>
  <c r="C186" i="205"/>
  <c r="F186" i="204"/>
  <c r="B196" i="204"/>
  <c r="D191" i="204"/>
  <c r="C191" i="204"/>
  <c r="F186" i="203"/>
  <c r="B196" i="203"/>
  <c r="C191" i="203"/>
  <c r="D191" i="203"/>
  <c r="F186" i="201"/>
  <c r="B196" i="201"/>
  <c r="D191" i="201"/>
  <c r="C191" i="201"/>
  <c r="F186" i="200"/>
  <c r="B196" i="200"/>
  <c r="D191" i="200"/>
  <c r="C191" i="200"/>
  <c r="F186" i="199"/>
  <c r="B196" i="199"/>
  <c r="D191" i="199"/>
  <c r="C191" i="199"/>
  <c r="F186" i="198"/>
  <c r="B196" i="198"/>
  <c r="D191" i="198"/>
  <c r="C191" i="198"/>
  <c r="F186" i="194"/>
  <c r="B196" i="194"/>
  <c r="D191" i="194"/>
  <c r="C191" i="194"/>
  <c r="F181" i="193"/>
  <c r="B191" i="193"/>
  <c r="D186" i="193"/>
  <c r="C186" i="193"/>
  <c r="F181" i="192"/>
  <c r="B191" i="192"/>
  <c r="D186" i="192"/>
  <c r="C186" i="192"/>
  <c r="F186" i="191"/>
  <c r="B196" i="191"/>
  <c r="D191" i="191"/>
  <c r="C191" i="191"/>
  <c r="F186" i="190"/>
  <c r="B196" i="190"/>
  <c r="C191" i="190"/>
  <c r="D191" i="190"/>
  <c r="F181" i="189"/>
  <c r="B191" i="189"/>
  <c r="D186" i="189"/>
  <c r="C186" i="189"/>
  <c r="F181" i="188"/>
  <c r="B191" i="188"/>
  <c r="D186" i="188"/>
  <c r="C186" i="188"/>
  <c r="F181" i="187"/>
  <c r="B191" i="187"/>
  <c r="D186" i="187"/>
  <c r="C186" i="187"/>
  <c r="F186" i="186"/>
  <c r="C191" i="186"/>
  <c r="B196" i="186"/>
  <c r="D191" i="186"/>
  <c r="F181" i="185"/>
  <c r="B191" i="185"/>
  <c r="D186" i="185"/>
  <c r="C186" i="185"/>
  <c r="F181" i="184"/>
  <c r="B191" i="184"/>
  <c r="D186" i="184"/>
  <c r="C186" i="184"/>
  <c r="F186" i="183"/>
  <c r="C191" i="183"/>
  <c r="B196" i="183"/>
  <c r="D191" i="183"/>
  <c r="F186" i="182"/>
  <c r="B196" i="182"/>
  <c r="C191" i="182"/>
  <c r="D191" i="182"/>
  <c r="F181" i="181"/>
  <c r="B191" i="181"/>
  <c r="D186" i="181"/>
  <c r="C186" i="181"/>
  <c r="F181" i="180"/>
  <c r="B191" i="180"/>
  <c r="D186" i="180"/>
  <c r="C186" i="180"/>
  <c r="F188" i="179"/>
  <c r="B198" i="179"/>
  <c r="D193" i="179"/>
  <c r="C193" i="179"/>
  <c r="F188" i="178"/>
  <c r="C193" i="178"/>
  <c r="B198" i="178"/>
  <c r="D193" i="178"/>
  <c r="B192" i="176"/>
  <c r="D187" i="176"/>
  <c r="C187" i="176"/>
  <c r="F188" i="174"/>
  <c r="C193" i="174"/>
  <c r="D193" i="174"/>
  <c r="B198" i="174"/>
  <c r="F188" i="173"/>
  <c r="B198" i="173"/>
  <c r="D193" i="173"/>
  <c r="C193" i="173"/>
  <c r="F191" i="172"/>
  <c r="C196" i="172"/>
  <c r="B201" i="172"/>
  <c r="D196" i="172"/>
  <c r="F190" i="171"/>
  <c r="B200" i="171"/>
  <c r="C195" i="171"/>
  <c r="D195" i="171"/>
  <c r="C37" i="39"/>
  <c r="E35" i="39"/>
  <c r="L35" i="39" s="1"/>
  <c r="F34" i="39"/>
  <c r="G34" i="39" s="1"/>
  <c r="D36" i="39"/>
  <c r="A39" i="39"/>
  <c r="K39" i="39" s="1"/>
  <c r="J39" i="39" s="1"/>
  <c r="B38" i="39"/>
  <c r="B180" i="1"/>
  <c r="C175" i="1"/>
  <c r="F170" i="1"/>
  <c r="D175" i="1"/>
  <c r="F196" i="172" a="1"/>
  <c r="F181" i="215" a="1"/>
  <c r="F186" i="209" a="1"/>
  <c r="F186" i="181" a="1"/>
  <c r="F191" i="182" a="1"/>
  <c r="F186" i="211" a="1"/>
  <c r="F193" i="174" a="1"/>
  <c r="F181" i="219" a="1"/>
  <c r="F181" i="202" a="1"/>
  <c r="F183" i="175" a="1"/>
  <c r="F186" i="185" a="1"/>
  <c r="F191" i="191" a="1"/>
  <c r="F191" i="204" a="1"/>
  <c r="F186" i="205" a="1"/>
  <c r="F175" i="1" a="1"/>
  <c r="F181" i="195" a="1"/>
  <c r="F186" i="187" a="1"/>
  <c r="F191" i="218" a="1"/>
  <c r="F191" i="208" a="1"/>
  <c r="F191" i="199" a="1"/>
  <c r="F186" i="192" a="1"/>
  <c r="F181" i="213" a="1"/>
  <c r="F193" i="179" a="1"/>
  <c r="F186" i="220" a="1"/>
  <c r="F195" i="171" a="1"/>
  <c r="F193" i="173" a="1"/>
  <c r="F191" i="194" a="1"/>
  <c r="F181" i="217" a="1"/>
  <c r="F181" i="197" a="1"/>
  <c r="F186" i="207" a="1"/>
  <c r="F186" i="214" a="1"/>
  <c r="F191" i="186" a="1"/>
  <c r="F186" i="193" a="1"/>
  <c r="F191" i="190" a="1"/>
  <c r="F176" i="217" a="1"/>
  <c r="F183" i="177" a="1"/>
  <c r="F191" i="183" a="1"/>
  <c r="F187" i="176" a="1"/>
  <c r="F191" i="216" a="1"/>
  <c r="F191" i="198" a="1"/>
  <c r="F186" i="184" a="1"/>
  <c r="F181" i="210" a="1"/>
  <c r="F178" i="177" a="1"/>
  <c r="F191" i="212" a="1"/>
  <c r="F191" i="201" a="1"/>
  <c r="F191" i="203" a="1"/>
  <c r="F193" i="178" a="1"/>
  <c r="F191" i="200" a="1"/>
  <c r="F181" i="196" a="1"/>
  <c r="F186" i="180" a="1"/>
  <c r="F186" i="188" a="1"/>
  <c r="F191" i="206" a="1"/>
  <c r="F186" i="189" a="1"/>
  <c r="F181" i="196" l="1"/>
  <c r="F178" i="177"/>
  <c r="F181" i="210"/>
  <c r="F183" i="177"/>
  <c r="F176" i="217"/>
  <c r="F181" i="197"/>
  <c r="F181" i="217"/>
  <c r="F181" i="213"/>
  <c r="F181" i="195"/>
  <c r="F183" i="175"/>
  <c r="F181" i="202"/>
  <c r="F181" i="219"/>
  <c r="F181" i="215"/>
  <c r="B191" i="219"/>
  <c r="D186" i="219"/>
  <c r="C186" i="219"/>
  <c r="B191" i="217"/>
  <c r="D186" i="217"/>
  <c r="C186" i="217"/>
  <c r="B191" i="215"/>
  <c r="D186" i="215"/>
  <c r="C186" i="215"/>
  <c r="B191" i="213"/>
  <c r="D186" i="213"/>
  <c r="C186" i="213"/>
  <c r="B191" i="210"/>
  <c r="D186" i="210"/>
  <c r="C186" i="210"/>
  <c r="B191" i="202"/>
  <c r="D186" i="202"/>
  <c r="C186" i="202"/>
  <c r="B191" i="197"/>
  <c r="D186" i="197"/>
  <c r="C186" i="197"/>
  <c r="B191" i="196"/>
  <c r="D186" i="196"/>
  <c r="C186" i="196"/>
  <c r="B191" i="195"/>
  <c r="D186" i="195"/>
  <c r="C186" i="195"/>
  <c r="B193" i="177"/>
  <c r="D188" i="177"/>
  <c r="C188" i="177"/>
  <c r="B193" i="175"/>
  <c r="D188" i="175"/>
  <c r="C188" i="175"/>
  <c r="F186" i="220"/>
  <c r="B196" i="220"/>
  <c r="C191" i="220"/>
  <c r="D191" i="220"/>
  <c r="F191" i="218"/>
  <c r="B201" i="218"/>
  <c r="D196" i="218"/>
  <c r="C196" i="218"/>
  <c r="F191" i="216"/>
  <c r="B201" i="216"/>
  <c r="D196" i="216"/>
  <c r="C196" i="216"/>
  <c r="F186" i="214"/>
  <c r="C191" i="214"/>
  <c r="B196" i="214"/>
  <c r="D191" i="214"/>
  <c r="F191" i="212"/>
  <c r="B201" i="212"/>
  <c r="D196" i="212"/>
  <c r="C196" i="212"/>
  <c r="F186" i="211"/>
  <c r="B196" i="211"/>
  <c r="D191" i="211"/>
  <c r="C191" i="211"/>
  <c r="F186" i="209"/>
  <c r="B196" i="209"/>
  <c r="D191" i="209"/>
  <c r="C191" i="209"/>
  <c r="F191" i="208"/>
  <c r="B201" i="208"/>
  <c r="D196" i="208"/>
  <c r="C196" i="208"/>
  <c r="F186" i="207"/>
  <c r="B196" i="207"/>
  <c r="C191" i="207"/>
  <c r="D191" i="207"/>
  <c r="F191" i="206"/>
  <c r="B201" i="206"/>
  <c r="D196" i="206"/>
  <c r="C196" i="206"/>
  <c r="F186" i="205"/>
  <c r="C191" i="205"/>
  <c r="B196" i="205"/>
  <c r="D191" i="205"/>
  <c r="F191" i="204"/>
  <c r="B201" i="204"/>
  <c r="D196" i="204"/>
  <c r="C196" i="204"/>
  <c r="F191" i="203"/>
  <c r="B201" i="203"/>
  <c r="D196" i="203"/>
  <c r="C196" i="203"/>
  <c r="F191" i="201"/>
  <c r="B201" i="201"/>
  <c r="D196" i="201"/>
  <c r="C196" i="201"/>
  <c r="F191" i="200"/>
  <c r="B201" i="200"/>
  <c r="D196" i="200"/>
  <c r="C196" i="200"/>
  <c r="F191" i="199"/>
  <c r="B201" i="199"/>
  <c r="D196" i="199"/>
  <c r="C196" i="199"/>
  <c r="F191" i="198"/>
  <c r="B201" i="198"/>
  <c r="D196" i="198"/>
  <c r="C196" i="198"/>
  <c r="F191" i="194"/>
  <c r="B201" i="194"/>
  <c r="D196" i="194"/>
  <c r="C196" i="194"/>
  <c r="F186" i="193"/>
  <c r="B196" i="193"/>
  <c r="D191" i="193"/>
  <c r="C191" i="193"/>
  <c r="F186" i="192"/>
  <c r="B196" i="192"/>
  <c r="D191" i="192"/>
  <c r="C191" i="192"/>
  <c r="F191" i="191"/>
  <c r="B201" i="191"/>
  <c r="D196" i="191"/>
  <c r="C196" i="191"/>
  <c r="F191" i="190"/>
  <c r="B201" i="190"/>
  <c r="D196" i="190"/>
  <c r="C196" i="190"/>
  <c r="F186" i="189"/>
  <c r="D191" i="189"/>
  <c r="C191" i="189"/>
  <c r="B196" i="189"/>
  <c r="F186" i="188"/>
  <c r="C191" i="188"/>
  <c r="B196" i="188"/>
  <c r="D191" i="188"/>
  <c r="F186" i="187"/>
  <c r="B196" i="187"/>
  <c r="C191" i="187"/>
  <c r="D191" i="187"/>
  <c r="F191" i="186"/>
  <c r="B201" i="186"/>
  <c r="D196" i="186"/>
  <c r="C196" i="186"/>
  <c r="F186" i="185"/>
  <c r="B196" i="185"/>
  <c r="D191" i="185"/>
  <c r="C191" i="185"/>
  <c r="F186" i="184"/>
  <c r="B196" i="184"/>
  <c r="D191" i="184"/>
  <c r="C191" i="184"/>
  <c r="F191" i="183"/>
  <c r="B201" i="183"/>
  <c r="D196" i="183"/>
  <c r="C196" i="183"/>
  <c r="F191" i="182"/>
  <c r="B201" i="182"/>
  <c r="D196" i="182"/>
  <c r="C196" i="182"/>
  <c r="F186" i="181"/>
  <c r="C191" i="181"/>
  <c r="B196" i="181"/>
  <c r="D191" i="181"/>
  <c r="F186" i="180"/>
  <c r="B196" i="180"/>
  <c r="C191" i="180"/>
  <c r="D191" i="180"/>
  <c r="F193" i="179"/>
  <c r="B203" i="179"/>
  <c r="D198" i="179"/>
  <c r="C198" i="179"/>
  <c r="F193" i="178"/>
  <c r="B203" i="178"/>
  <c r="D198" i="178"/>
  <c r="C198" i="178"/>
  <c r="F187" i="176"/>
  <c r="C192" i="176"/>
  <c r="B197" i="176"/>
  <c r="D192" i="176"/>
  <c r="F193" i="174"/>
  <c r="B203" i="174"/>
  <c r="D198" i="174"/>
  <c r="C198" i="174"/>
  <c r="F193" i="173"/>
  <c r="B203" i="173"/>
  <c r="D198" i="173"/>
  <c r="C198" i="173"/>
  <c r="F196" i="172"/>
  <c r="B206" i="172"/>
  <c r="D201" i="172"/>
  <c r="C201" i="172"/>
  <c r="F195" i="171"/>
  <c r="B205" i="171"/>
  <c r="D200" i="171"/>
  <c r="C200" i="171"/>
  <c r="C38" i="39"/>
  <c r="E36" i="39"/>
  <c r="L36" i="39" s="1"/>
  <c r="F35" i="39"/>
  <c r="G35" i="39" s="1"/>
  <c r="D37" i="39"/>
  <c r="A40" i="39"/>
  <c r="K40" i="39" s="1"/>
  <c r="J40" i="39" s="1"/>
  <c r="B39" i="39"/>
  <c r="B185" i="1"/>
  <c r="C180" i="1"/>
  <c r="F175" i="1"/>
  <c r="D180" i="1"/>
  <c r="F186" i="210" a="1"/>
  <c r="F196" i="198" a="1"/>
  <c r="F191" i="188" a="1"/>
  <c r="F198" i="173" a="1"/>
  <c r="F196" i="191" a="1"/>
  <c r="F180" i="1" a="1"/>
  <c r="F186" i="196" a="1"/>
  <c r="F196" i="212" a="1"/>
  <c r="F196" i="216" a="1"/>
  <c r="F191" i="181" a="1"/>
  <c r="F191" i="189" a="1"/>
  <c r="F191" i="180" a="1"/>
  <c r="F186" i="215" a="1"/>
  <c r="F188" i="175" a="1"/>
  <c r="F191" i="205" a="1"/>
  <c r="F201" i="172" a="1"/>
  <c r="F191" i="211" a="1"/>
  <c r="F196" i="201" a="1"/>
  <c r="F198" i="178" a="1"/>
  <c r="F186" i="202" a="1"/>
  <c r="F196" i="183" a="1"/>
  <c r="F192" i="176" a="1"/>
  <c r="F191" i="185" a="1"/>
  <c r="F198" i="179" a="1"/>
  <c r="F186" i="219" a="1"/>
  <c r="F186" i="195" a="1"/>
  <c r="F196" i="206" a="1"/>
  <c r="F191" i="220" a="1"/>
  <c r="F196" i="194" a="1"/>
  <c r="F200" i="171" a="1"/>
  <c r="F196" i="208" a="1"/>
  <c r="F186" i="213" a="1"/>
  <c r="F191" i="193" a="1"/>
  <c r="F196" i="182" a="1"/>
  <c r="F196" i="190" a="1"/>
  <c r="F191" i="192" a="1"/>
  <c r="F191" i="184" a="1"/>
  <c r="F186" i="197" a="1"/>
  <c r="F196" i="204" a="1"/>
  <c r="F196" i="218" a="1"/>
  <c r="F196" i="200" a="1"/>
  <c r="F196" i="199" a="1"/>
  <c r="F191" i="214" a="1"/>
  <c r="F186" i="217" a="1"/>
  <c r="F188" i="177" a="1"/>
  <c r="F196" i="203" a="1"/>
  <c r="F191" i="187" a="1"/>
  <c r="F198" i="174" a="1"/>
  <c r="F191" i="209" a="1"/>
  <c r="F196" i="186" a="1"/>
  <c r="F191" i="207" a="1"/>
  <c r="F188" i="177" l="1"/>
  <c r="F186" i="217"/>
  <c r="F186" i="197"/>
  <c r="F186" i="213"/>
  <c r="F186" i="195"/>
  <c r="F186" i="219"/>
  <c r="F186" i="202"/>
  <c r="F188" i="175"/>
  <c r="F186" i="215"/>
  <c r="F186" i="196"/>
  <c r="F186" i="210"/>
  <c r="B196" i="219"/>
  <c r="D191" i="219"/>
  <c r="C191" i="219"/>
  <c r="B196" i="217"/>
  <c r="D191" i="217"/>
  <c r="C191" i="217"/>
  <c r="B196" i="215"/>
  <c r="D191" i="215"/>
  <c r="C191" i="215"/>
  <c r="B196" i="213"/>
  <c r="D191" i="213"/>
  <c r="C191" i="213"/>
  <c r="B196" i="210"/>
  <c r="C191" i="210"/>
  <c r="D191" i="210"/>
  <c r="B196" i="202"/>
  <c r="D191" i="202"/>
  <c r="C191" i="202"/>
  <c r="B196" i="197"/>
  <c r="D191" i="197"/>
  <c r="C191" i="197"/>
  <c r="B196" i="196"/>
  <c r="D191" i="196"/>
  <c r="C191" i="196"/>
  <c r="B196" i="195"/>
  <c r="D191" i="195"/>
  <c r="C191" i="195"/>
  <c r="B198" i="177"/>
  <c r="D193" i="177"/>
  <c r="C193" i="177"/>
  <c r="B198" i="175"/>
  <c r="D193" i="175"/>
  <c r="C193" i="175"/>
  <c r="F191" i="220"/>
  <c r="B201" i="220"/>
  <c r="D196" i="220"/>
  <c r="C196" i="220"/>
  <c r="F196" i="218"/>
  <c r="D201" i="218"/>
  <c r="C201" i="218"/>
  <c r="B206" i="218"/>
  <c r="F196" i="216"/>
  <c r="D201" i="216"/>
  <c r="C201" i="216"/>
  <c r="B206" i="216"/>
  <c r="F191" i="214"/>
  <c r="B201" i="214"/>
  <c r="D196" i="214"/>
  <c r="C196" i="214"/>
  <c r="F196" i="212"/>
  <c r="D201" i="212"/>
  <c r="C201" i="212"/>
  <c r="B206" i="212"/>
  <c r="F191" i="211"/>
  <c r="B201" i="211"/>
  <c r="D196" i="211"/>
  <c r="C196" i="211"/>
  <c r="F191" i="209"/>
  <c r="B201" i="209"/>
  <c r="D196" i="209"/>
  <c r="C196" i="209"/>
  <c r="F196" i="208"/>
  <c r="D201" i="208"/>
  <c r="C201" i="208"/>
  <c r="B206" i="208"/>
  <c r="F191" i="207"/>
  <c r="B201" i="207"/>
  <c r="D196" i="207"/>
  <c r="C196" i="207"/>
  <c r="F196" i="206"/>
  <c r="D201" i="206"/>
  <c r="C201" i="206"/>
  <c r="B206" i="206"/>
  <c r="F191" i="205"/>
  <c r="B201" i="205"/>
  <c r="D196" i="205"/>
  <c r="C196" i="205"/>
  <c r="F196" i="204"/>
  <c r="D201" i="204"/>
  <c r="C201" i="204"/>
  <c r="B206" i="204"/>
  <c r="F196" i="203"/>
  <c r="D201" i="203"/>
  <c r="C201" i="203"/>
  <c r="B206" i="203"/>
  <c r="F196" i="201"/>
  <c r="D201" i="201"/>
  <c r="C201" i="201"/>
  <c r="B206" i="201"/>
  <c r="F196" i="200"/>
  <c r="D201" i="200"/>
  <c r="C201" i="200"/>
  <c r="B206" i="200"/>
  <c r="F196" i="199"/>
  <c r="D201" i="199"/>
  <c r="C201" i="199"/>
  <c r="B206" i="199"/>
  <c r="F196" i="198"/>
  <c r="D201" i="198"/>
  <c r="C201" i="198"/>
  <c r="B206" i="198"/>
  <c r="F196" i="194"/>
  <c r="D201" i="194"/>
  <c r="C201" i="194"/>
  <c r="B206" i="194"/>
  <c r="F191" i="193"/>
  <c r="B201" i="193"/>
  <c r="D196" i="193"/>
  <c r="C196" i="193"/>
  <c r="F191" i="192"/>
  <c r="B201" i="192"/>
  <c r="D196" i="192"/>
  <c r="C196" i="192"/>
  <c r="F196" i="191"/>
  <c r="D201" i="191"/>
  <c r="C201" i="191"/>
  <c r="B206" i="191"/>
  <c r="F196" i="190"/>
  <c r="D201" i="190"/>
  <c r="C201" i="190"/>
  <c r="B206" i="190"/>
  <c r="F191" i="189"/>
  <c r="B201" i="189"/>
  <c r="D196" i="189"/>
  <c r="C196" i="189"/>
  <c r="F191" i="188"/>
  <c r="B201" i="188"/>
  <c r="D196" i="188"/>
  <c r="C196" i="188"/>
  <c r="F191" i="187"/>
  <c r="B201" i="187"/>
  <c r="D196" i="187"/>
  <c r="C196" i="187"/>
  <c r="F196" i="186"/>
  <c r="D201" i="186"/>
  <c r="C201" i="186"/>
  <c r="B206" i="186"/>
  <c r="F191" i="185"/>
  <c r="B201" i="185"/>
  <c r="D196" i="185"/>
  <c r="C196" i="185"/>
  <c r="F191" i="184"/>
  <c r="B201" i="184"/>
  <c r="D196" i="184"/>
  <c r="C196" i="184"/>
  <c r="F196" i="183"/>
  <c r="D201" i="183"/>
  <c r="C201" i="183"/>
  <c r="B206" i="183"/>
  <c r="F196" i="182"/>
  <c r="D201" i="182"/>
  <c r="C201" i="182"/>
  <c r="B206" i="182"/>
  <c r="F191" i="181"/>
  <c r="B201" i="181"/>
  <c r="D196" i="181"/>
  <c r="C196" i="181"/>
  <c r="F191" i="180"/>
  <c r="B201" i="180"/>
  <c r="D196" i="180"/>
  <c r="C196" i="180"/>
  <c r="F198" i="179"/>
  <c r="D203" i="179"/>
  <c r="C203" i="179"/>
  <c r="B208" i="179"/>
  <c r="F198" i="178"/>
  <c r="D203" i="178"/>
  <c r="C203" i="178"/>
  <c r="B208" i="178"/>
  <c r="F192" i="176"/>
  <c r="B202" i="176"/>
  <c r="D197" i="176"/>
  <c r="C197" i="176"/>
  <c r="F198" i="174"/>
  <c r="D203" i="174"/>
  <c r="C203" i="174"/>
  <c r="B208" i="174"/>
  <c r="F198" i="173"/>
  <c r="D203" i="173"/>
  <c r="C203" i="173"/>
  <c r="B208" i="173"/>
  <c r="F201" i="172"/>
  <c r="D206" i="172"/>
  <c r="C206" i="172"/>
  <c r="B211" i="172"/>
  <c r="F200" i="171"/>
  <c r="D205" i="171"/>
  <c r="C205" i="171"/>
  <c r="B210" i="171"/>
  <c r="C39" i="39"/>
  <c r="E37" i="39"/>
  <c r="L37" i="39" s="1"/>
  <c r="F36" i="39"/>
  <c r="G36" i="39" s="1"/>
  <c r="D38" i="39"/>
  <c r="A41" i="39"/>
  <c r="K41" i="39" s="1"/>
  <c r="J41" i="39" s="1"/>
  <c r="B40" i="39"/>
  <c r="B190" i="1"/>
  <c r="C185" i="1"/>
  <c r="F180" i="1"/>
  <c r="D185" i="1"/>
  <c r="F191" i="215" a="1"/>
  <c r="F193" i="175" a="1"/>
  <c r="F197" i="176" a="1"/>
  <c r="F201" i="200" a="1"/>
  <c r="F196" i="187" a="1"/>
  <c r="F201" i="194" a="1"/>
  <c r="F201" i="212" a="1"/>
  <c r="F191" i="202" a="1"/>
  <c r="F201" i="191" a="1"/>
  <c r="F201" i="199" a="1"/>
  <c r="F196" i="220" a="1"/>
  <c r="F185" i="1" a="1"/>
  <c r="F196" i="193" a="1"/>
  <c r="F191" i="219" a="1"/>
  <c r="F191" i="195" a="1"/>
  <c r="F206" i="172" a="1"/>
  <c r="F203" i="174" a="1"/>
  <c r="F196" i="207" a="1"/>
  <c r="F201" i="216" a="1"/>
  <c r="F201" i="183" a="1"/>
  <c r="F191" i="213" a="1"/>
  <c r="F201" i="182" a="1"/>
  <c r="F201" i="201" a="1"/>
  <c r="F203" i="178" a="1"/>
  <c r="F205" i="171" a="1"/>
  <c r="F201" i="208" a="1"/>
  <c r="F196" i="180" a="1"/>
  <c r="F191" i="197" a="1"/>
  <c r="F203" i="173" a="1"/>
  <c r="F196" i="214" a="1"/>
  <c r="F196" i="184" a="1"/>
  <c r="F201" i="186" a="1"/>
  <c r="F201" i="190" a="1"/>
  <c r="F191" i="217" a="1"/>
  <c r="F193" i="177" a="1"/>
  <c r="F196" i="205" a="1"/>
  <c r="F201" i="203" a="1"/>
  <c r="F201" i="218" a="1"/>
  <c r="F203" i="179" a="1"/>
  <c r="F196" i="188" a="1"/>
  <c r="F196" i="189" a="1"/>
  <c r="F201" i="198" a="1"/>
  <c r="F196" i="185" a="1"/>
  <c r="F196" i="209" a="1"/>
  <c r="F201" i="204" a="1"/>
  <c r="F191" i="196" a="1"/>
  <c r="F201" i="206" a="1"/>
  <c r="F196" i="181" a="1"/>
  <c r="F196" i="192" a="1"/>
  <c r="F196" i="211" a="1"/>
  <c r="F191" i="196" l="1"/>
  <c r="F193" i="177"/>
  <c r="F191" i="217"/>
  <c r="F191" i="197"/>
  <c r="F191" i="213"/>
  <c r="F191" i="195"/>
  <c r="F191" i="219"/>
  <c r="F191" i="202"/>
  <c r="F193" i="175"/>
  <c r="F191" i="215"/>
  <c r="B201" i="219"/>
  <c r="D196" i="219"/>
  <c r="C196" i="219"/>
  <c r="B201" i="217"/>
  <c r="D196" i="217"/>
  <c r="C196" i="217"/>
  <c r="B201" i="215"/>
  <c r="D196" i="215"/>
  <c r="C196" i="215"/>
  <c r="B201" i="213"/>
  <c r="D196" i="213"/>
  <c r="C196" i="213"/>
  <c r="B201" i="210"/>
  <c r="D196" i="210"/>
  <c r="C196" i="210"/>
  <c r="B201" i="202"/>
  <c r="D196" i="202"/>
  <c r="C196" i="202"/>
  <c r="B201" i="197"/>
  <c r="D196" i="197"/>
  <c r="C196" i="197"/>
  <c r="B201" i="196"/>
  <c r="D196" i="196"/>
  <c r="C196" i="196"/>
  <c r="B201" i="195"/>
  <c r="D196" i="195"/>
  <c r="C196" i="195"/>
  <c r="B203" i="177"/>
  <c r="D198" i="177"/>
  <c r="C198" i="177"/>
  <c r="B203" i="175"/>
  <c r="D198" i="175"/>
  <c r="C198" i="175"/>
  <c r="F196" i="220"/>
  <c r="D201" i="220"/>
  <c r="C201" i="220"/>
  <c r="B206" i="220"/>
  <c r="F201" i="218"/>
  <c r="B211" i="218"/>
  <c r="D206" i="218"/>
  <c r="C206" i="218"/>
  <c r="F201" i="216"/>
  <c r="B211" i="216"/>
  <c r="D206" i="216"/>
  <c r="C206" i="216"/>
  <c r="F196" i="214"/>
  <c r="D201" i="214"/>
  <c r="C201" i="214"/>
  <c r="B206" i="214"/>
  <c r="F201" i="212"/>
  <c r="B211" i="212"/>
  <c r="D206" i="212"/>
  <c r="C206" i="212"/>
  <c r="F196" i="211"/>
  <c r="D201" i="211"/>
  <c r="C201" i="211"/>
  <c r="B206" i="211"/>
  <c r="F196" i="209"/>
  <c r="D201" i="209"/>
  <c r="C201" i="209"/>
  <c r="B206" i="209"/>
  <c r="F201" i="208"/>
  <c r="B211" i="208"/>
  <c r="D206" i="208"/>
  <c r="C206" i="208"/>
  <c r="F196" i="207"/>
  <c r="D201" i="207"/>
  <c r="C201" i="207"/>
  <c r="B206" i="207"/>
  <c r="F201" i="206"/>
  <c r="B211" i="206"/>
  <c r="D206" i="206"/>
  <c r="C206" i="206"/>
  <c r="F196" i="205"/>
  <c r="D201" i="205"/>
  <c r="C201" i="205"/>
  <c r="B206" i="205"/>
  <c r="F201" i="204"/>
  <c r="B211" i="204"/>
  <c r="D206" i="204"/>
  <c r="C206" i="204"/>
  <c r="F201" i="203"/>
  <c r="B211" i="203"/>
  <c r="D206" i="203"/>
  <c r="C206" i="203"/>
  <c r="F201" i="201"/>
  <c r="B211" i="201"/>
  <c r="D206" i="201"/>
  <c r="C206" i="201"/>
  <c r="F201" i="200"/>
  <c r="B211" i="200"/>
  <c r="D206" i="200"/>
  <c r="C206" i="200"/>
  <c r="F201" i="199"/>
  <c r="B211" i="199"/>
  <c r="D206" i="199"/>
  <c r="C206" i="199"/>
  <c r="F201" i="198"/>
  <c r="B211" i="198"/>
  <c r="D206" i="198"/>
  <c r="C206" i="198"/>
  <c r="F201" i="194"/>
  <c r="B211" i="194"/>
  <c r="D206" i="194"/>
  <c r="C206" i="194"/>
  <c r="F196" i="193"/>
  <c r="D201" i="193"/>
  <c r="C201" i="193"/>
  <c r="B206" i="193"/>
  <c r="F196" i="192"/>
  <c r="D201" i="192"/>
  <c r="C201" i="192"/>
  <c r="B206" i="192"/>
  <c r="F201" i="191"/>
  <c r="B211" i="191"/>
  <c r="D206" i="191"/>
  <c r="C206" i="191"/>
  <c r="F201" i="190"/>
  <c r="B211" i="190"/>
  <c r="D206" i="190"/>
  <c r="C206" i="190"/>
  <c r="F196" i="189"/>
  <c r="D201" i="189"/>
  <c r="C201" i="189"/>
  <c r="B206" i="189"/>
  <c r="F196" i="188"/>
  <c r="D201" i="188"/>
  <c r="C201" i="188"/>
  <c r="B206" i="188"/>
  <c r="F196" i="187"/>
  <c r="D201" i="187"/>
  <c r="C201" i="187"/>
  <c r="B206" i="187"/>
  <c r="F201" i="186"/>
  <c r="B211" i="186"/>
  <c r="D206" i="186"/>
  <c r="C206" i="186"/>
  <c r="F196" i="185"/>
  <c r="D201" i="185"/>
  <c r="C201" i="185"/>
  <c r="B206" i="185"/>
  <c r="F196" i="184"/>
  <c r="D201" i="184"/>
  <c r="C201" i="184"/>
  <c r="B206" i="184"/>
  <c r="F201" i="183"/>
  <c r="B211" i="183"/>
  <c r="D206" i="183"/>
  <c r="C206" i="183"/>
  <c r="F201" i="182"/>
  <c r="B211" i="182"/>
  <c r="D206" i="182"/>
  <c r="C206" i="182"/>
  <c r="F196" i="181"/>
  <c r="D201" i="181"/>
  <c r="C201" i="181"/>
  <c r="B206" i="181"/>
  <c r="F196" i="180"/>
  <c r="D201" i="180"/>
  <c r="C201" i="180"/>
  <c r="B206" i="180"/>
  <c r="F203" i="179"/>
  <c r="B213" i="179"/>
  <c r="D208" i="179"/>
  <c r="C208" i="179"/>
  <c r="F203" i="178"/>
  <c r="B213" i="178"/>
  <c r="D208" i="178"/>
  <c r="C208" i="178"/>
  <c r="F197" i="176"/>
  <c r="D202" i="176"/>
  <c r="C202" i="176"/>
  <c r="B207" i="176"/>
  <c r="F203" i="174"/>
  <c r="B213" i="174"/>
  <c r="D208" i="174"/>
  <c r="C208" i="174"/>
  <c r="F203" i="173"/>
  <c r="B213" i="173"/>
  <c r="D208" i="173"/>
  <c r="C208" i="173"/>
  <c r="F206" i="172"/>
  <c r="B216" i="172"/>
  <c r="D211" i="172"/>
  <c r="C211" i="172"/>
  <c r="F205" i="171"/>
  <c r="B215" i="171"/>
  <c r="D210" i="171"/>
  <c r="C210" i="171"/>
  <c r="C40" i="39"/>
  <c r="E38" i="39"/>
  <c r="L38" i="39" s="1"/>
  <c r="F37" i="39"/>
  <c r="G37" i="39" s="1"/>
  <c r="D39" i="39"/>
  <c r="A42" i="39"/>
  <c r="K43" i="39" s="1"/>
  <c r="J43" i="39" s="1"/>
  <c r="B41" i="39"/>
  <c r="B195" i="1"/>
  <c r="C190" i="1"/>
  <c r="F185" i="1"/>
  <c r="D190" i="1"/>
  <c r="F196" i="210" a="1"/>
  <c r="F206" i="182" a="1"/>
  <c r="F210" i="171" a="1"/>
  <c r="F201" i="184" a="1"/>
  <c r="F201" i="193" a="1"/>
  <c r="F201" i="181" a="1"/>
  <c r="F196" i="215" a="1"/>
  <c r="F196" i="196" a="1"/>
  <c r="F206" i="194" a="1"/>
  <c r="F202" i="176" a="1"/>
  <c r="F211" i="172" a="1"/>
  <c r="F206" i="206" a="1"/>
  <c r="F206" i="212" a="1"/>
  <c r="F198" i="175" a="1"/>
  <c r="F201" i="214" a="1"/>
  <c r="F206" i="204" a="1"/>
  <c r="F208" i="174" a="1"/>
  <c r="F206" i="216" a="1"/>
  <c r="F206" i="203" a="1"/>
  <c r="F201" i="207" a="1"/>
  <c r="F201" i="205" a="1"/>
  <c r="F201" i="211" a="1"/>
  <c r="F196" i="213" a="1"/>
  <c r="F208" i="173" a="1"/>
  <c r="F208" i="179" a="1"/>
  <c r="F206" i="191" a="1"/>
  <c r="F190" i="1" a="1"/>
  <c r="F206" i="201" a="1"/>
  <c r="F201" i="209" a="1"/>
  <c r="F196" i="219" a="1"/>
  <c r="F196" i="202" a="1"/>
  <c r="F206" i="218" a="1"/>
  <c r="F196" i="195" a="1"/>
  <c r="F201" i="192" a="1"/>
  <c r="F208" i="178" a="1"/>
  <c r="F201" i="220" a="1"/>
  <c r="F191" i="210" a="1"/>
  <c r="F206" i="183" a="1"/>
  <c r="F201" i="185" a="1"/>
  <c r="F206" i="208" a="1"/>
  <c r="F201" i="189" a="1"/>
  <c r="F206" i="199" a="1"/>
  <c r="F196" i="217" a="1"/>
  <c r="F196" i="197" a="1"/>
  <c r="F206" i="198" a="1"/>
  <c r="F201" i="187" a="1"/>
  <c r="F206" i="200" a="1"/>
  <c r="F206" i="186" a="1"/>
  <c r="F201" i="180" a="1"/>
  <c r="F198" i="177" a="1"/>
  <c r="F201" i="188" a="1"/>
  <c r="F206" i="190" a="1"/>
  <c r="F198" i="177" l="1"/>
  <c r="F196" i="197"/>
  <c r="F196" i="217"/>
  <c r="F191" i="210"/>
  <c r="F196" i="195"/>
  <c r="F196" i="202"/>
  <c r="F196" i="219"/>
  <c r="F196" i="213"/>
  <c r="F198" i="175"/>
  <c r="F196" i="196"/>
  <c r="F196" i="215"/>
  <c r="F196" i="210"/>
  <c r="D201" i="219"/>
  <c r="C201" i="219"/>
  <c r="B206" i="219"/>
  <c r="D201" i="217"/>
  <c r="C201" i="217"/>
  <c r="B206" i="217"/>
  <c r="D201" i="215"/>
  <c r="C201" i="215"/>
  <c r="B206" i="215"/>
  <c r="D201" i="213"/>
  <c r="C201" i="213"/>
  <c r="B206" i="213"/>
  <c r="D201" i="210"/>
  <c r="C201" i="210"/>
  <c r="B206" i="210"/>
  <c r="D201" i="202"/>
  <c r="C201" i="202"/>
  <c r="B206" i="202"/>
  <c r="D201" i="197"/>
  <c r="C201" i="197"/>
  <c r="B206" i="197"/>
  <c r="D201" i="196"/>
  <c r="C201" i="196"/>
  <c r="B206" i="196"/>
  <c r="D201" i="195"/>
  <c r="C201" i="195"/>
  <c r="B206" i="195"/>
  <c r="D203" i="177"/>
  <c r="B208" i="177"/>
  <c r="C203" i="177"/>
  <c r="D203" i="175"/>
  <c r="C203" i="175"/>
  <c r="B208" i="175"/>
  <c r="F201" i="220"/>
  <c r="B211" i="220"/>
  <c r="D206" i="220"/>
  <c r="C206" i="220"/>
  <c r="F206" i="218"/>
  <c r="D211" i="218"/>
  <c r="C211" i="218"/>
  <c r="F206" i="216"/>
  <c r="D211" i="216"/>
  <c r="C211" i="216"/>
  <c r="F201" i="214"/>
  <c r="B211" i="214"/>
  <c r="D206" i="214"/>
  <c r="C206" i="214"/>
  <c r="F206" i="212"/>
  <c r="D211" i="212"/>
  <c r="C211" i="212"/>
  <c r="F201" i="211"/>
  <c r="B211" i="211"/>
  <c r="D206" i="211"/>
  <c r="C206" i="211"/>
  <c r="F201" i="209"/>
  <c r="B211" i="209"/>
  <c r="D206" i="209"/>
  <c r="C206" i="209"/>
  <c r="F206" i="208"/>
  <c r="D211" i="208"/>
  <c r="C211" i="208"/>
  <c r="F201" i="207"/>
  <c r="B211" i="207"/>
  <c r="D206" i="207"/>
  <c r="C206" i="207"/>
  <c r="F206" i="206"/>
  <c r="D211" i="206"/>
  <c r="C211" i="206"/>
  <c r="F201" i="205"/>
  <c r="B211" i="205"/>
  <c r="D206" i="205"/>
  <c r="C206" i="205"/>
  <c r="F206" i="204"/>
  <c r="D211" i="204"/>
  <c r="C211" i="204"/>
  <c r="F206" i="203"/>
  <c r="D211" i="203"/>
  <c r="C211" i="203"/>
  <c r="F206" i="201"/>
  <c r="D211" i="201"/>
  <c r="C211" i="201"/>
  <c r="F206" i="200"/>
  <c r="D211" i="200"/>
  <c r="C211" i="200"/>
  <c r="F206" i="199"/>
  <c r="D211" i="199"/>
  <c r="C211" i="199"/>
  <c r="F206" i="198"/>
  <c r="D211" i="198"/>
  <c r="C211" i="198"/>
  <c r="F206" i="194"/>
  <c r="D211" i="194"/>
  <c r="C211" i="194"/>
  <c r="F201" i="193"/>
  <c r="B211" i="193"/>
  <c r="D206" i="193"/>
  <c r="C206" i="193"/>
  <c r="F201" i="192"/>
  <c r="B211" i="192"/>
  <c r="D206" i="192"/>
  <c r="C206" i="192"/>
  <c r="F206" i="191"/>
  <c r="D211" i="191"/>
  <c r="C211" i="191"/>
  <c r="F206" i="190"/>
  <c r="D211" i="190"/>
  <c r="C211" i="190"/>
  <c r="F201" i="189"/>
  <c r="B211" i="189"/>
  <c r="D206" i="189"/>
  <c r="C206" i="189"/>
  <c r="F201" i="188"/>
  <c r="B211" i="188"/>
  <c r="D206" i="188"/>
  <c r="C206" i="188"/>
  <c r="F201" i="187"/>
  <c r="B211" i="187"/>
  <c r="D206" i="187"/>
  <c r="C206" i="187"/>
  <c r="F206" i="186"/>
  <c r="D211" i="186"/>
  <c r="C211" i="186"/>
  <c r="F201" i="185"/>
  <c r="B211" i="185"/>
  <c r="D206" i="185"/>
  <c r="C206" i="185"/>
  <c r="F201" i="184"/>
  <c r="B211" i="184"/>
  <c r="D206" i="184"/>
  <c r="C206" i="184"/>
  <c r="F206" i="183"/>
  <c r="D211" i="183"/>
  <c r="C211" i="183"/>
  <c r="F206" i="182"/>
  <c r="D211" i="182"/>
  <c r="C211" i="182"/>
  <c r="F201" i="181"/>
  <c r="B211" i="181"/>
  <c r="D206" i="181"/>
  <c r="C206" i="181"/>
  <c r="F201" i="180"/>
  <c r="B211" i="180"/>
  <c r="D206" i="180"/>
  <c r="C206" i="180"/>
  <c r="F208" i="179"/>
  <c r="D213" i="179"/>
  <c r="C213" i="179"/>
  <c r="F208" i="178"/>
  <c r="D213" i="178"/>
  <c r="C213" i="178"/>
  <c r="F202" i="176"/>
  <c r="B212" i="176"/>
  <c r="D207" i="176"/>
  <c r="C207" i="176"/>
  <c r="F208" i="174"/>
  <c r="D213" i="174"/>
  <c r="C213" i="174"/>
  <c r="F208" i="173"/>
  <c r="D213" i="173"/>
  <c r="C213" i="173"/>
  <c r="F211" i="172"/>
  <c r="D216" i="172"/>
  <c r="C216" i="172"/>
  <c r="F210" i="171"/>
  <c r="D215" i="171"/>
  <c r="C215" i="171"/>
  <c r="C41" i="39"/>
  <c r="E39" i="39"/>
  <c r="L39" i="39" s="1"/>
  <c r="F38" i="39"/>
  <c r="G38" i="39" s="1"/>
  <c r="D40" i="39"/>
  <c r="A43" i="39"/>
  <c r="B42" i="39"/>
  <c r="B200" i="1"/>
  <c r="C195" i="1"/>
  <c r="F190" i="1"/>
  <c r="D195" i="1"/>
  <c r="F201" i="215" a="1"/>
  <c r="F203" i="175" a="1"/>
  <c r="F206" i="185" a="1"/>
  <c r="F206" i="184" a="1"/>
  <c r="F206" i="214" a="1"/>
  <c r="F211" i="191" a="1"/>
  <c r="F211" i="182" a="1"/>
  <c r="F211" i="200" a="1"/>
  <c r="F206" i="180" a="1"/>
  <c r="F211" i="218" a="1"/>
  <c r="F201" i="219" a="1"/>
  <c r="F201" i="195" a="1"/>
  <c r="F211" i="204" a="1"/>
  <c r="F206" i="220" a="1"/>
  <c r="F211" i="186" a="1"/>
  <c r="F215" i="171" a="1"/>
  <c r="F211" i="190" a="1"/>
  <c r="F203" i="177" a="1"/>
  <c r="F211" i="194" a="1"/>
  <c r="F207" i="176" a="1"/>
  <c r="F211" i="199" a="1"/>
  <c r="F213" i="173" a="1"/>
  <c r="F201" i="202" a="1"/>
  <c r="F206" i="189" a="1"/>
  <c r="F211" i="203" a="1"/>
  <c r="F216" i="172" a="1"/>
  <c r="F213" i="174" a="1"/>
  <c r="F206" i="193" a="1"/>
  <c r="F213" i="178" a="1"/>
  <c r="F195" i="1" a="1"/>
  <c r="F206" i="205" a="1"/>
  <c r="F206" i="209" a="1"/>
  <c r="F201" i="213" a="1"/>
  <c r="F211" i="208" a="1"/>
  <c r="F211" i="198" a="1"/>
  <c r="F206" i="192" a="1"/>
  <c r="F206" i="211" a="1"/>
  <c r="F206" i="207" a="1"/>
  <c r="F201" i="197" a="1"/>
  <c r="F213" i="179" a="1"/>
  <c r="F206" i="181" a="1"/>
  <c r="F211" i="216" a="1"/>
  <c r="F211" i="201" a="1"/>
  <c r="F211" i="212" a="1"/>
  <c r="F201" i="217" a="1"/>
  <c r="F211" i="206" a="1"/>
  <c r="F206" i="188" a="1"/>
  <c r="F201" i="210" a="1"/>
  <c r="F211" i="183" a="1"/>
  <c r="F201" i="196" a="1"/>
  <c r="F206" i="187" a="1"/>
  <c r="F201" i="196" l="1"/>
  <c r="F201" i="210"/>
  <c r="F201" i="217"/>
  <c r="F201" i="197"/>
  <c r="F201" i="213"/>
  <c r="F201" i="202"/>
  <c r="F203" i="177"/>
  <c r="F201" i="195"/>
  <c r="F201" i="219"/>
  <c r="F203" i="175"/>
  <c r="F201" i="215"/>
  <c r="B211" i="219"/>
  <c r="D206" i="219"/>
  <c r="C206" i="219"/>
  <c r="B211" i="217"/>
  <c r="D206" i="217"/>
  <c r="C206" i="217"/>
  <c r="B211" i="215"/>
  <c r="D206" i="215"/>
  <c r="C206" i="215"/>
  <c r="B211" i="213"/>
  <c r="D206" i="213"/>
  <c r="C206" i="213"/>
  <c r="B211" i="210"/>
  <c r="D206" i="210"/>
  <c r="C206" i="210"/>
  <c r="B211" i="202"/>
  <c r="D206" i="202"/>
  <c r="C206" i="202"/>
  <c r="B211" i="197"/>
  <c r="D206" i="197"/>
  <c r="C206" i="197"/>
  <c r="B211" i="196"/>
  <c r="D206" i="196"/>
  <c r="C206" i="196"/>
  <c r="B211" i="195"/>
  <c r="D206" i="195"/>
  <c r="C206" i="195"/>
  <c r="B213" i="177"/>
  <c r="D208" i="177"/>
  <c r="C208" i="177"/>
  <c r="B213" i="175"/>
  <c r="D208" i="175"/>
  <c r="C208" i="175"/>
  <c r="F206" i="220"/>
  <c r="D211" i="220"/>
  <c r="C211" i="220"/>
  <c r="F211" i="218"/>
  <c r="F211" i="216"/>
  <c r="F206" i="214"/>
  <c r="D211" i="214"/>
  <c r="C211" i="214"/>
  <c r="F211" i="212"/>
  <c r="F206" i="211"/>
  <c r="D211" i="211"/>
  <c r="C211" i="211"/>
  <c r="F206" i="209"/>
  <c r="D211" i="209"/>
  <c r="C211" i="209"/>
  <c r="F211" i="208"/>
  <c r="F206" i="207"/>
  <c r="D211" i="207"/>
  <c r="C211" i="207"/>
  <c r="F211" i="206"/>
  <c r="F206" i="205"/>
  <c r="D211" i="205"/>
  <c r="C211" i="205"/>
  <c r="F211" i="204"/>
  <c r="F211" i="203"/>
  <c r="F211" i="201"/>
  <c r="F211" i="200"/>
  <c r="F211" i="199"/>
  <c r="F211" i="198"/>
  <c r="F211" i="194"/>
  <c r="F206" i="193"/>
  <c r="D211" i="193"/>
  <c r="C211" i="193"/>
  <c r="F206" i="192"/>
  <c r="D211" i="192"/>
  <c r="C211" i="192"/>
  <c r="F211" i="191"/>
  <c r="F211" i="190"/>
  <c r="F206" i="189"/>
  <c r="D211" i="189"/>
  <c r="C211" i="189"/>
  <c r="F206" i="188"/>
  <c r="D211" i="188"/>
  <c r="C211" i="188"/>
  <c r="F206" i="187"/>
  <c r="D211" i="187"/>
  <c r="C211" i="187"/>
  <c r="F211" i="186"/>
  <c r="F206" i="185"/>
  <c r="D211" i="185"/>
  <c r="C211" i="185"/>
  <c r="F206" i="184"/>
  <c r="D211" i="184"/>
  <c r="C211" i="184"/>
  <c r="F211" i="183"/>
  <c r="F211" i="182"/>
  <c r="F206" i="181"/>
  <c r="D211" i="181"/>
  <c r="C211" i="181"/>
  <c r="F206" i="180"/>
  <c r="D211" i="180"/>
  <c r="C211" i="180"/>
  <c r="F213" i="179"/>
  <c r="F213" i="178"/>
  <c r="F207" i="176"/>
  <c r="D212" i="176"/>
  <c r="C212" i="176"/>
  <c r="F213" i="174"/>
  <c r="F213" i="173"/>
  <c r="F216" i="172"/>
  <c r="F215" i="171"/>
  <c r="C42" i="39"/>
  <c r="E40" i="39"/>
  <c r="L40" i="39" s="1"/>
  <c r="F39" i="39"/>
  <c r="G39" i="39" s="1"/>
  <c r="D41" i="39"/>
  <c r="A44" i="39"/>
  <c r="B43" i="39"/>
  <c r="B205" i="1"/>
  <c r="C200" i="1"/>
  <c r="F195" i="1"/>
  <c r="D200" i="1"/>
  <c r="F206" i="215" a="1"/>
  <c r="F208" i="175" a="1"/>
  <c r="F211" i="209" a="1"/>
  <c r="F211" i="193" a="1"/>
  <c r="F211" i="189" a="1"/>
  <c r="F211" i="192" a="1"/>
  <c r="F206" i="195" a="1"/>
  <c r="F211" i="185" a="1"/>
  <c r="F211" i="214" a="1"/>
  <c r="F206" i="210" a="1"/>
  <c r="F211" i="181" a="1"/>
  <c r="F212" i="176" a="1"/>
  <c r="F206" i="202" a="1"/>
  <c r="F206" i="219" a="1"/>
  <c r="F211" i="205" a="1"/>
  <c r="F211" i="184" a="1"/>
  <c r="F211" i="211" a="1"/>
  <c r="F206" i="213" a="1"/>
  <c r="F200" i="1" a="1"/>
  <c r="F211" i="188" a="1"/>
  <c r="F206" i="197" a="1"/>
  <c r="F211" i="207" a="1"/>
  <c r="F211" i="180" a="1"/>
  <c r="F206" i="217" a="1"/>
  <c r="F208" i="177" a="1"/>
  <c r="F211" i="220" a="1"/>
  <c r="F206" i="196" a="1"/>
  <c r="F211" i="187" a="1"/>
  <c r="F206" i="196" l="1"/>
  <c r="F208" i="177"/>
  <c r="F206" i="217"/>
  <c r="F206" i="197"/>
  <c r="F206" i="213"/>
  <c r="F206" i="219"/>
  <c r="F206" i="202"/>
  <c r="F206" i="210"/>
  <c r="F206" i="195"/>
  <c r="F208" i="175"/>
  <c r="F206" i="215"/>
  <c r="D211" i="219"/>
  <c r="C211" i="219"/>
  <c r="D211" i="217"/>
  <c r="C211" i="217"/>
  <c r="D211" i="215"/>
  <c r="C211" i="215"/>
  <c r="D211" i="213"/>
  <c r="C211" i="213"/>
  <c r="D211" i="210"/>
  <c r="C211" i="210"/>
  <c r="D211" i="202"/>
  <c r="C211" i="202"/>
  <c r="D211" i="197"/>
  <c r="C211" i="197"/>
  <c r="D211" i="196"/>
  <c r="C211" i="196"/>
  <c r="D211" i="195"/>
  <c r="C211" i="195"/>
  <c r="D213" i="177"/>
  <c r="C213" i="177"/>
  <c r="D213" i="175"/>
  <c r="C213" i="175"/>
  <c r="F211" i="220"/>
  <c r="F211" i="214"/>
  <c r="F211" i="211"/>
  <c r="F211" i="209"/>
  <c r="F211" i="207"/>
  <c r="F211" i="205"/>
  <c r="F211" i="193"/>
  <c r="F211" i="192"/>
  <c r="F211" i="189"/>
  <c r="F211" i="188"/>
  <c r="F211" i="187"/>
  <c r="F211" i="185"/>
  <c r="F211" i="184"/>
  <c r="F211" i="181"/>
  <c r="F211" i="180"/>
  <c r="F212" i="176"/>
  <c r="C43" i="39"/>
  <c r="E41" i="39"/>
  <c r="L41" i="39" s="1"/>
  <c r="F40" i="39"/>
  <c r="G40" i="39" s="1"/>
  <c r="D42" i="39"/>
  <c r="A45" i="39"/>
  <c r="K45" i="39" s="1"/>
  <c r="J45" i="39" s="1"/>
  <c r="B44" i="39"/>
  <c r="K44" i="39" s="1"/>
  <c r="J44" i="39" s="1"/>
  <c r="B210" i="1"/>
  <c r="C210" i="1" s="1"/>
  <c r="C205" i="1"/>
  <c r="F200" i="1"/>
  <c r="D205" i="1"/>
  <c r="F205" i="1" a="1"/>
  <c r="F211" i="219" a="1"/>
  <c r="F211" i="195" a="1"/>
  <c r="F213" i="175" a="1"/>
  <c r="F211" i="213" a="1"/>
  <c r="F211" i="210" a="1"/>
  <c r="F211" i="196" a="1"/>
  <c r="F211" i="217" a="1"/>
  <c r="F211" i="202" a="1"/>
  <c r="F213" i="177" a="1"/>
  <c r="F211" i="215" a="1"/>
  <c r="F211" i="197" a="1"/>
  <c r="F211" i="197" l="1"/>
  <c r="F211" i="215"/>
  <c r="F213" i="177"/>
  <c r="F211" i="202"/>
  <c r="F211" i="217"/>
  <c r="F211" i="196"/>
  <c r="F211" i="210"/>
  <c r="F211" i="213"/>
  <c r="F213" i="175"/>
  <c r="F211" i="195"/>
  <c r="F211" i="219"/>
  <c r="E42" i="39"/>
  <c r="C44" i="39"/>
  <c r="F41" i="39"/>
  <c r="G41" i="39" s="1"/>
  <c r="D43" i="39"/>
  <c r="A46" i="39"/>
  <c r="K46" i="39" s="1"/>
  <c r="J46" i="39" s="1"/>
  <c r="B45" i="39"/>
  <c r="F205" i="1"/>
  <c r="D210" i="1"/>
  <c r="F210" i="1" a="1"/>
  <c r="C45" i="39" l="1"/>
  <c r="E43" i="39"/>
  <c r="L43" i="39" s="1"/>
  <c r="D44" i="39"/>
  <c r="F42" i="39"/>
  <c r="G42" i="39" s="1"/>
  <c r="A47" i="39"/>
  <c r="K47" i="39" s="1"/>
  <c r="J47" i="39" s="1"/>
  <c r="B46" i="39"/>
  <c r="F210" i="1"/>
  <c r="C46" i="39" l="1"/>
  <c r="E44" i="39"/>
  <c r="L44" i="39" s="1"/>
  <c r="F43" i="39"/>
  <c r="G43" i="39" s="1"/>
  <c r="D45" i="39"/>
  <c r="B47" i="39"/>
  <c r="A48" i="39"/>
  <c r="K48" i="39" s="1"/>
  <c r="J48" i="39" s="1"/>
  <c r="C47" i="39" l="1"/>
  <c r="E45" i="39"/>
  <c r="L45" i="39" s="1"/>
  <c r="F44" i="39"/>
  <c r="G44" i="39" s="1"/>
  <c r="D46" i="39"/>
  <c r="A49" i="39"/>
  <c r="K49" i="39" s="1"/>
  <c r="J49" i="39" s="1"/>
  <c r="B48" i="39"/>
  <c r="C48" i="39" l="1"/>
  <c r="E46" i="39"/>
  <c r="L46" i="39" s="1"/>
  <c r="F45" i="39"/>
  <c r="G45" i="39" s="1"/>
  <c r="D47" i="39"/>
  <c r="A50" i="39"/>
  <c r="B49" i="39"/>
  <c r="E47" i="39" l="1"/>
  <c r="L47" i="39" s="1"/>
  <c r="F46" i="39"/>
  <c r="G46" i="39" s="1"/>
  <c r="C49" i="39"/>
  <c r="D48" i="39"/>
  <c r="A51" i="39"/>
  <c r="K51" i="39" s="1"/>
  <c r="J51" i="39" s="1"/>
  <c r="B50" i="39"/>
  <c r="K50" i="39" s="1"/>
  <c r="J50" i="39" s="1"/>
  <c r="C50" i="39" l="1"/>
  <c r="E48" i="39"/>
  <c r="L48" i="39" s="1"/>
  <c r="D49" i="39"/>
  <c r="F47" i="39"/>
  <c r="G47" i="39" s="1"/>
  <c r="A52" i="39"/>
  <c r="K52" i="39" s="1"/>
  <c r="J52" i="39" s="1"/>
  <c r="B51" i="39"/>
  <c r="C51" i="39" l="1"/>
  <c r="E49" i="39"/>
  <c r="L49" i="39" s="1"/>
  <c r="F48" i="39"/>
  <c r="G48" i="39" s="1"/>
  <c r="D50" i="39"/>
  <c r="B52" i="39"/>
  <c r="A53" i="39"/>
  <c r="K53" i="39" s="1"/>
  <c r="J53" i="39" s="1"/>
  <c r="C52" i="39" l="1"/>
  <c r="E50" i="39"/>
  <c r="L50" i="39" s="1"/>
  <c r="F49" i="39"/>
  <c r="G49" i="39" s="1"/>
  <c r="D51" i="39"/>
  <c r="B53" i="39"/>
  <c r="A54" i="39"/>
  <c r="K54" i="39" s="1"/>
  <c r="J54" i="39" s="1"/>
  <c r="C53" i="39" l="1"/>
  <c r="E51" i="39"/>
  <c r="L51" i="39" s="1"/>
  <c r="F50" i="39"/>
  <c r="G50" i="39" s="1"/>
  <c r="D52" i="39"/>
  <c r="B54" i="39"/>
  <c r="A55" i="39"/>
  <c r="C54" i="39" l="1"/>
  <c r="E52" i="39"/>
  <c r="L52" i="39" s="1"/>
  <c r="F51" i="39"/>
  <c r="G51" i="39" s="1"/>
  <c r="D53" i="39"/>
  <c r="E53" i="39" l="1"/>
  <c r="L53" i="39" s="1"/>
  <c r="F52" i="39"/>
  <c r="G52" i="39" s="1"/>
  <c r="D54" i="39"/>
  <c r="E54" i="39" l="1"/>
  <c r="L54" i="39" s="1"/>
  <c r="F53" i="39"/>
  <c r="G53" i="39" s="1"/>
  <c r="F54" i="39" l="1"/>
  <c r="G54"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<sst xmlns="http://schemas.openxmlformats.org/spreadsheetml/2006/main" count="2438" uniqueCount="1564">
  <si>
    <t>今回</t>
    <rPh sb="0" eb="2">
      <t>コンカイ</t>
    </rPh>
    <phoneticPr fontId="1"/>
  </si>
  <si>
    <t>2024年04月～業務週報</t>
    <rPh sb="4" eb="5">
      <t>ネン</t>
    </rPh>
    <rPh sb="7" eb="8">
      <t>ツキ</t>
    </rPh>
    <rPh sb="9" eb="11">
      <t>ギョウム</t>
    </rPh>
    <rPh sb="11" eb="13">
      <t>シュウホウ</t>
    </rPh>
    <phoneticPr fontId="1"/>
  </si>
  <si>
    <t>開始</t>
    <rPh sb="0" eb="2">
      <t>カイシ</t>
    </rPh>
    <phoneticPr fontId="1"/>
  </si>
  <si>
    <t>終了</t>
    <rPh sb="0" eb="2">
      <t>シュウリョウ</t>
    </rPh>
    <phoneticPr fontId="1"/>
  </si>
  <si>
    <t>シート</t>
    <phoneticPr fontId="1"/>
  </si>
  <si>
    <t>～</t>
  </si>
  <si>
    <t>●</t>
  </si>
  <si>
    <t>入力者の皆さま⇒</t>
    <rPh sb="0" eb="3">
      <t>ニュウリョクシャ</t>
    </rPh>
    <rPh sb="4" eb="5">
      <t>ミナ</t>
    </rPh>
    <phoneticPr fontId="1"/>
  </si>
  <si>
    <t>補足資料格納先はこちら</t>
    <rPh sb="0" eb="2">
      <t>ホソク</t>
    </rPh>
    <rPh sb="2" eb="4">
      <t>シリョウ</t>
    </rPh>
    <rPh sb="4" eb="6">
      <t>カクノウ</t>
    </rPh>
    <rPh sb="6" eb="7">
      <t>サキ</t>
    </rPh>
    <phoneticPr fontId="1"/>
  </si>
  <si>
    <t>※OneDriveではリンクが飛ばないため『ﾘｽﾄ』シートの格納場所をコピペください</t>
    <rPh sb="15" eb="16">
      <t>ト</t>
    </rPh>
    <rPh sb="30" eb="32">
      <t>カクノウ</t>
    </rPh>
    <rPh sb="32" eb="34">
      <t>バショ</t>
    </rPh>
    <phoneticPr fontId="1"/>
  </si>
  <si>
    <t>週報発表日</t>
    <rPh sb="0" eb="2">
      <t>シュウホウ</t>
    </rPh>
    <rPh sb="2" eb="5">
      <t>ハッピョウヒ</t>
    </rPh>
    <phoneticPr fontId="1"/>
  </si>
  <si>
    <t>OEC社外秘</t>
    <rPh sb="3" eb="6">
      <t>シャガイヒ</t>
    </rPh>
    <phoneticPr fontId="1"/>
  </si>
  <si>
    <t>業務週報V2.0</t>
    <phoneticPr fontId="1"/>
  </si>
  <si>
    <t>部門名</t>
    <rPh sb="0" eb="3">
      <t>ブモンメイ</t>
    </rPh>
    <phoneticPr fontId="2"/>
  </si>
  <si>
    <t>週報</t>
    <rPh sb="0" eb="2">
      <t>シュウホウ</t>
    </rPh>
    <phoneticPr fontId="2"/>
  </si>
  <si>
    <t>補足資料
格納フォルダ</t>
    <rPh sb="0" eb="2">
      <t>ホソク</t>
    </rPh>
    <rPh sb="2" eb="4">
      <t>シリョウ</t>
    </rPh>
    <phoneticPr fontId="1"/>
  </si>
  <si>
    <t>週報補足（ファイル名など）</t>
    <rPh sb="0" eb="4">
      <t>シュウホウホソク</t>
    </rPh>
    <rPh sb="9" eb="10">
      <t>ナ</t>
    </rPh>
    <phoneticPr fontId="1"/>
  </si>
  <si>
    <t>１．4/12(金)　15:00～18:00　未来の杜Play Field オープニングイベント　60名の来賓</t>
  </si>
  <si>
    <t>オープニングイベント 式次第_20240412.pdf</t>
  </si>
  <si>
    <t>　　(1) 準備を含めて同日午後は、来賓以外の来社を避けて頂きますようご協力ください（駐車場利用不可）</t>
  </si>
  <si>
    <t>　　(2) メイン会場：OEC CUBE、オープンスペース、大会議室　　S/F 3F, 4Fも見学予定</t>
  </si>
  <si>
    <t>　　　　　⇒　開催中はメイン会場への立入禁止　来賓への挨拶、節度ある服装にも配慮願います</t>
  </si>
  <si>
    <t>２．公式Ｘを準備中　　近日中に案内予定</t>
  </si>
  <si>
    <r>
      <t>(2025卒 採用活動) 総エントリー数　</t>
    </r>
    <r>
      <rPr>
        <sz val="11"/>
        <color rgb="FFFF0000"/>
        <rFont val="Meiryo UI"/>
        <family val="3"/>
        <charset val="128"/>
      </rPr>
      <t>737</t>
    </r>
    <r>
      <rPr>
        <sz val="11"/>
        <color rgb="FF000000"/>
        <rFont val="Meiryo UI"/>
        <family val="3"/>
        <charset val="128"/>
      </rPr>
      <t>人（</t>
    </r>
    <r>
      <rPr>
        <sz val="11"/>
        <color rgb="FFFF0000"/>
        <rFont val="Meiryo UI"/>
        <family val="3"/>
        <charset val="128"/>
      </rPr>
      <t>4/5</t>
    </r>
    <r>
      <rPr>
        <sz val="11"/>
        <color rgb="FF000000"/>
        <rFont val="Meiryo UI"/>
        <family val="3"/>
        <charset val="128"/>
      </rPr>
      <t>時点）　※2次グループ面接終了</t>
    </r>
  </si>
  <si>
    <r>
      <t>　1次選考　応募</t>
    </r>
    <r>
      <rPr>
        <sz val="11"/>
        <color rgb="FF00B0F0"/>
        <rFont val="Meiryo UI"/>
        <family val="3"/>
        <charset val="128"/>
      </rPr>
      <t>32</t>
    </r>
    <r>
      <rPr>
        <sz val="11"/>
        <color rgb="FF000000"/>
        <rFont val="Meiryo UI"/>
        <family val="3"/>
        <charset val="128"/>
      </rPr>
      <t>名　⇒　グループ面接</t>
    </r>
    <r>
      <rPr>
        <sz val="11"/>
        <color rgb="FF00B0F0"/>
        <rFont val="Meiryo UI"/>
        <family val="3"/>
        <charset val="128"/>
      </rPr>
      <t>26</t>
    </r>
    <r>
      <rPr>
        <sz val="11"/>
        <color rgb="FF000000"/>
        <rFont val="Meiryo UI"/>
        <family val="3"/>
        <charset val="128"/>
      </rPr>
      <t>名　⇒　最終面接</t>
    </r>
    <r>
      <rPr>
        <sz val="11"/>
        <color rgb="FF00B0F0"/>
        <rFont val="Meiryo UI"/>
        <family val="3"/>
        <charset val="128"/>
      </rPr>
      <t>16</t>
    </r>
    <r>
      <rPr>
        <sz val="11"/>
        <color rgb="FF000000"/>
        <rFont val="Meiryo UI"/>
        <family val="3"/>
        <charset val="128"/>
      </rPr>
      <t>名　⇒　内定</t>
    </r>
    <r>
      <rPr>
        <sz val="11"/>
        <color rgb="FF00B0F0"/>
        <rFont val="Meiryo UI"/>
        <family val="3"/>
        <charset val="128"/>
      </rPr>
      <t>12</t>
    </r>
    <r>
      <rPr>
        <sz val="11"/>
        <color rgb="FF000000"/>
        <rFont val="Meiryo UI"/>
        <family val="3"/>
        <charset val="128"/>
      </rPr>
      <t xml:space="preserve">名　⇒　承諾 </t>
    </r>
    <r>
      <rPr>
        <sz val="11"/>
        <color rgb="FFFF0000"/>
        <rFont val="Meiryo UI"/>
        <family val="3"/>
        <charset val="128"/>
      </rPr>
      <t>2</t>
    </r>
    <r>
      <rPr>
        <sz val="11"/>
        <color rgb="FF000000"/>
        <rFont val="Meiryo UI"/>
        <family val="3"/>
        <charset val="128"/>
      </rPr>
      <t>名</t>
    </r>
  </si>
  <si>
    <r>
      <t>　2次選考　応募</t>
    </r>
    <r>
      <rPr>
        <sz val="11"/>
        <color rgb="FF00B0F0"/>
        <rFont val="Meiryo UI"/>
        <family val="3"/>
        <charset val="128"/>
      </rPr>
      <t>31</t>
    </r>
    <r>
      <rPr>
        <sz val="11"/>
        <color rgb="FF000000"/>
        <rFont val="Meiryo UI"/>
        <family val="3"/>
        <charset val="128"/>
      </rPr>
      <t>名　⇒　グループ面接</t>
    </r>
    <r>
      <rPr>
        <sz val="11"/>
        <color rgb="FF00B0F0"/>
        <rFont val="Meiryo UI"/>
        <family val="3"/>
        <charset val="128"/>
      </rPr>
      <t>23</t>
    </r>
    <r>
      <rPr>
        <sz val="11"/>
        <color rgb="FF000000"/>
        <rFont val="Meiryo UI"/>
        <family val="3"/>
        <charset val="128"/>
      </rPr>
      <t>名　⇒　最終面接</t>
    </r>
    <r>
      <rPr>
        <sz val="11"/>
        <color rgb="FFFF0000"/>
        <rFont val="Meiryo UI"/>
        <family val="3"/>
        <charset val="128"/>
      </rPr>
      <t>14</t>
    </r>
    <r>
      <rPr>
        <sz val="11"/>
        <color rgb="FF000000"/>
        <rFont val="Meiryo UI"/>
        <family val="3"/>
        <charset val="128"/>
      </rPr>
      <t>名　⇒　内定</t>
    </r>
    <r>
      <rPr>
        <sz val="11"/>
        <color rgb="FF00B0F0"/>
        <rFont val="Meiryo UI"/>
        <family val="3"/>
        <charset val="128"/>
      </rPr>
      <t>xx</t>
    </r>
    <r>
      <rPr>
        <sz val="11"/>
        <color rgb="FF000000"/>
        <rFont val="Meiryo UI"/>
        <family val="3"/>
        <charset val="128"/>
      </rPr>
      <t xml:space="preserve">名　⇒　承諾 </t>
    </r>
    <r>
      <rPr>
        <sz val="11"/>
        <color rgb="FF00B0F0"/>
        <rFont val="Meiryo UI"/>
        <family val="3"/>
        <charset val="128"/>
      </rPr>
      <t>0</t>
    </r>
    <r>
      <rPr>
        <sz val="11"/>
        <color rgb="FF000000"/>
        <rFont val="Meiryo UI"/>
        <family val="3"/>
        <charset val="128"/>
      </rPr>
      <t>名</t>
    </r>
  </si>
  <si>
    <r>
      <t xml:space="preserve"> 専門選考　応募</t>
    </r>
    <r>
      <rPr>
        <sz val="11"/>
        <color rgb="FF00B0F0"/>
        <rFont val="Meiryo UI"/>
        <family val="3"/>
        <charset val="128"/>
      </rPr>
      <t>13</t>
    </r>
    <r>
      <rPr>
        <sz val="11"/>
        <color rgb="FF000000"/>
        <rFont val="Meiryo UI"/>
        <family val="3"/>
        <charset val="128"/>
      </rPr>
      <t xml:space="preserve">名　⇒　グループ面接  </t>
    </r>
    <r>
      <rPr>
        <sz val="11"/>
        <color rgb="FF00B0F0"/>
        <rFont val="Meiryo UI"/>
        <family val="3"/>
        <charset val="128"/>
      </rPr>
      <t>6</t>
    </r>
    <r>
      <rPr>
        <sz val="11"/>
        <color rgb="FF000000"/>
        <rFont val="Meiryo UI"/>
        <family val="3"/>
        <charset val="128"/>
      </rPr>
      <t xml:space="preserve">名　⇒　最終面接  </t>
    </r>
    <r>
      <rPr>
        <sz val="11"/>
        <color rgb="FF00B0F0"/>
        <rFont val="Meiryo UI"/>
        <family val="3"/>
        <charset val="128"/>
      </rPr>
      <t>4</t>
    </r>
    <r>
      <rPr>
        <sz val="11"/>
        <color rgb="FF000000"/>
        <rFont val="Meiryo UI"/>
        <family val="3"/>
        <charset val="128"/>
      </rPr>
      <t xml:space="preserve">名　⇒　内定 </t>
    </r>
    <r>
      <rPr>
        <sz val="11"/>
        <color rgb="FF00B0F0"/>
        <rFont val="Meiryo UI"/>
        <family val="3"/>
        <charset val="128"/>
      </rPr>
      <t>2</t>
    </r>
    <r>
      <rPr>
        <sz val="11"/>
        <color rgb="FF000000"/>
        <rFont val="Meiryo UI"/>
        <family val="3"/>
        <charset val="128"/>
      </rPr>
      <t xml:space="preserve">名  ⇒　承諾 </t>
    </r>
    <r>
      <rPr>
        <sz val="11"/>
        <color rgb="FF00B0F0"/>
        <rFont val="Meiryo UI"/>
        <family val="3"/>
        <charset val="128"/>
      </rPr>
      <t>0</t>
    </r>
    <r>
      <rPr>
        <sz val="11"/>
        <color rgb="FF000000"/>
        <rFont val="Meiryo UI"/>
        <family val="3"/>
        <charset val="128"/>
      </rPr>
      <t>名</t>
    </r>
  </si>
  <si>
    <t>※4/10 佐賀大学オンライン企業説明会　、　 4/16 大分中学校企業訪問学習受入</t>
  </si>
  <si>
    <t>・採用面接</t>
  </si>
  <si>
    <t>・新任グループ長面談(4/8～19)</t>
  </si>
  <si>
    <t>・東京本社社員面談</t>
  </si>
  <si>
    <t>・横浜市対応</t>
  </si>
  <si>
    <t>・2024年度総務・人事方針管理レビュー</t>
  </si>
  <si>
    <t>・【CI】　MI（マインド・アイデンティティ）における行動規範について</t>
  </si>
  <si>
    <t>通達№：002</t>
  </si>
  <si>
    <t>・【CI】　VI（ビジュアル・アイデンティティ）における制作物</t>
  </si>
  <si>
    <t>通達№：003</t>
  </si>
  <si>
    <t>・【CI】　パーパスブログ公開</t>
  </si>
  <si>
    <t>ブログサービス『note』でCI活動のブログを公開</t>
  </si>
  <si>
    <t>・新規ビジネス検討　NTTコミュニケーションズ、サーキュレーション等</t>
  </si>
  <si>
    <t>・ウフル引継ぎ対応　4/5</t>
  </si>
  <si>
    <t>1.全社システム・サーバ年度更新。3/29～ 一部は引き続き対応中。oec2の2023年度権限は4月末まで。</t>
  </si>
  <si>
    <t>年度更新のお知らせ</t>
  </si>
  <si>
    <t>2.新入社員教育（全社サーバ、Garoon、direct 他。また、セキュリティ・個人情報保護の認識教育）</t>
  </si>
  <si>
    <t>3.3月締め(工数や外注請求の確認)＆外注契約事務(年度更新分は早めに。各部のチェックも入念に。)</t>
  </si>
  <si>
    <t>4.横浜市施設予約プロジェクトの問題分析　専門家に依頼準備中</t>
  </si>
  <si>
    <t>5.2023年度マネジメントレビュー　4/26 実施予定</t>
  </si>
  <si>
    <t>１．インボイス制度対応：請求元の対応漏れ(消費税の表記漏れなど）は４F財務部までご相談ください。</t>
  </si>
  <si>
    <t>①【POWEREGG経費精算】年度跨ぎでの申請について</t>
  </si>
  <si>
    <r>
      <rPr>
        <sz val="11"/>
        <color rgb="FF000000"/>
        <rFont val="Meiryo UI"/>
        <family val="3"/>
        <charset val="128"/>
      </rPr>
      <t>２．BillOne：データセンター移転機能実装</t>
    </r>
    <r>
      <rPr>
        <sz val="11"/>
        <color rgb="FFFF0000"/>
        <rFont val="Meiryo UI"/>
        <family val="3"/>
        <charset val="128"/>
      </rPr>
      <t>【所有者要対応2件残】</t>
    </r>
  </si>
  <si>
    <t>（https://oec.cybozu.com/g/bulletin/view.csp?cid=9&amp;aid=1283）</t>
  </si>
  <si>
    <t>『要対応』切替の取引先は個別対応をお早めに（該当者へは回覧にてお知らせ済）</t>
  </si>
  <si>
    <t>②【販売管理システム】2024年度 更新予定お知らせ・データ作成の注意点について</t>
  </si>
  <si>
    <t>３．各種年度更新お知らせを出しています。必ず一読願います。</t>
  </si>
  <si>
    <t>（https://oec.cybozu.com/g/bulletin/view.csp?cid=9&amp;aid=1296）</t>
  </si>
  <si>
    <r>
      <rPr>
        <sz val="11"/>
        <color rgb="FF000000"/>
        <rFont val="Meiryo UI"/>
        <family val="3"/>
        <charset val="128"/>
      </rPr>
      <t>（商・BillOne切替予定4/10（水）18時～）　　　               　　</t>
    </r>
    <r>
      <rPr>
        <sz val="11"/>
        <color rgb="FFFF0000"/>
        <rFont val="Meiryo UI"/>
        <family val="3"/>
        <charset val="128"/>
      </rPr>
      <t>週報の補足をご確認ください→</t>
    </r>
  </si>
  <si>
    <t>③【BillOne受取請求書電子化システム】2024年度更新について</t>
  </si>
  <si>
    <t>４．３月分の請求書、各種精算書等は漏れなく回付をお願いします。</t>
  </si>
  <si>
    <t>（https://oec.cybozu.com/g/bulletin/view.csp?cid=9&amp;aid=1307）</t>
  </si>
  <si>
    <r>
      <rPr>
        <sz val="11"/>
        <color rgb="FF000000"/>
        <rFont val="Meiryo UI"/>
        <family val="3"/>
        <charset val="128"/>
      </rPr>
      <t xml:space="preserve">      ※POWEREGG経費精算の領収書(紙)は</t>
    </r>
    <r>
      <rPr>
        <sz val="11"/>
        <color rgb="FFFF0000"/>
        <rFont val="Meiryo UI"/>
        <family val="3"/>
        <charset val="128"/>
      </rPr>
      <t>必ず原本</t>
    </r>
    <r>
      <rPr>
        <sz val="11"/>
        <color rgb="FF000000"/>
        <rFont val="Meiryo UI"/>
        <family val="3"/>
        <charset val="128"/>
      </rPr>
      <t>の提出をお願いします</t>
    </r>
  </si>
  <si>
    <t>１．【予算目標】　売上高12,800百万円、営業利益550百万円</t>
  </si>
  <si>
    <t>　営業利益目標は各事業部に展開。厳しい数字ですが、達成に向け全社一丸となって取組みましょう。</t>
  </si>
  <si>
    <t>２．【CI】　4/26（全社キックオフの日）、副事業部長以上を対象にCI推進に向けた対話の場を企画。</t>
  </si>
  <si>
    <t>　対話のテーマは事前に案内予定。ご参加をお願いします。</t>
  </si>
  <si>
    <t>３．個人情報取扱いに注意！　郵便物、メールなど、送る前に宛先と内容物の再確認を。</t>
  </si>
  <si>
    <t>【全団体】R5・R6年度契約関係対応、各課訪問（異動者挨拶）</t>
  </si>
  <si>
    <t>【臼杵市】デジ田仕様書に関する協議　　【豊後大野市】勤怠管理システム　見積内容打ち合わせ</t>
  </si>
  <si>
    <t>【竹田市】建設課移転に伴う現地調査、デジ田(窓口支援システム)打合せ</t>
  </si>
  <si>
    <t>【豊後高田市】R5年度残案件（情報系FW、基幹系FW、フロアスイッチ、ADサーバ）スケジュール調整</t>
  </si>
  <si>
    <t>【臼杵市教育委員会】電子黒板1120台入札準備　　【竹田市教育委員会】新任教員端末設定作業</t>
  </si>
  <si>
    <t>【第2ﾌﾟﾛ】中津市：標準化に向けたOCUSA団体への参画依頼 4/4、日田市：シンクラ⇒PC変更概算積算</t>
  </si>
  <si>
    <t>【第2ﾌﾟﾛ その他】</t>
  </si>
  <si>
    <t>【第3ﾌﾟﾛ】大分県：OKパソコン、マイクロソフトライセンス、ガバメントクラウド回線共同利用の大型案件対応</t>
  </si>
  <si>
    <t>中津市・3市1町：新年度契約対応中</t>
  </si>
  <si>
    <t>　今年度発足した新グループ。各グループ員へビジョン、役割とミッションを伝える。</t>
  </si>
  <si>
    <t>杵築市 AcrocityVup作業ミスによる障害発生(4/2)</t>
  </si>
  <si>
    <t>【公共SS】各常駐先、人事異動作業実施　運用順調。　日出町RPA（常駐分）定例会 4/4</t>
  </si>
  <si>
    <t>⇒SE部門にてリカバリ優先で対応中</t>
  </si>
  <si>
    <t>【ｴﾝﾄﾘｰ】大分県：データエントリ業務委託落札 4/3、大分県：収納データパンチング業務開始 4/3</t>
  </si>
  <si>
    <t>【公共DX推進Gr】大分市：全庁ネットワーク再構築仕様打合せ、荷揚複合公共施設 ネットワーク状況調査</t>
  </si>
  <si>
    <t>RKKCS：システム標準化情報交換会（4/8）、行政システム九州：ガバクラ環境構築情報交換会（4/5）</t>
  </si>
  <si>
    <t>竹田市：デジ田交付金（スマート窓口導入）打合せ（4/4）、ツーリズムおおいた：城井さん着任</t>
  </si>
  <si>
    <t>【ソリューション推進Gr】窓口DXSaaS 竹田市デジ田交付金RFI事前打合せ（4/4）、日田市：RPA対応</t>
  </si>
  <si>
    <t>別府市：均等割世帯給付、子育て給付金運用支援、佐伯市：庶務事務4月人事異動の再任用対応</t>
  </si>
  <si>
    <t>【社会ｲﾝﾌﾗ】　IaaS：運用業務(新年度対応：仮想ﾏｼﾝ棚卸)、(今年度社内利用ｻｰﾊﾞ確認)</t>
  </si>
  <si>
    <t>　IDC：通常運用(特に問題なし)、IDCﾌﾛﾝﾃｨｱ(FY24上期業務改善項目確定：新年度より取組み開始)</t>
  </si>
  <si>
    <t>【NW】　一燈園(Fortigate導入作業)、豊後高田市(ﾌﾛｱSW更改、基幹AD更改、基幹FW&amp;LGWN_FW更改)</t>
  </si>
  <si>
    <t>　運用支援(各教育委員会：人事異動に伴う作業(AD関連、PC移設対応など）多忙)</t>
  </si>
  <si>
    <t>【ﾃｸﾆｶﾙ】　県内保守(官庁57件、文教6件)　県外保守(九地整2件)　大分市ﾌﾟﾘﾝﾀCall受付9件</t>
  </si>
  <si>
    <t>　ｽﾎﾟｯﾄ対応(九地整：大分1件、福岡2件)　(佐伯市1件、福岡県1件)</t>
  </si>
  <si>
    <t>【税・収納Gr】 　固定資産税当初課税処理、収納繰越処理、立会い実施中⇒問題なし。</t>
  </si>
  <si>
    <t>【住基・福祉Gr】津久見市／庁舎移転の住民投票(4/21)・・・基準日前処理、立合い実施⇒問題無し。</t>
  </si>
  <si>
    <t>【内部・個別Gr】eGモデル・・・年度切替に伴う問合せ多数、順次対応中</t>
  </si>
  <si>
    <t>【保険Gr】国保/賦課・・・仮算定&amp;平準化立会い、共通納税/賦課・・・仮算定納付書PKG不具合対応</t>
  </si>
  <si>
    <t>【全体】　 プレス発表・・・由布市国民健康保険（4/8）⇒ 市の事務処理誤り</t>
  </si>
  <si>
    <t>【標準化Gr】&lt;AcrocityVup&gt;【日田】ﾕｰｻﾞﾃｽﾄ…ｵﾝｽｹ､本番切替着手判定会議(4/11)　*稼働は4/22</t>
  </si>
  <si>
    <t>　　　　　　　　　　　　　　　　　　　【宇佐】ST･端末展開　【杵築】ST…着手、第3回定例会(4/9)</t>
  </si>
  <si>
    <t>　　　　　　　　&lt;&lt;4/2障害発生&gt;&gt;杵築/STにおいて「誤って本番環境を更新」⇒現在ﾃﾞｰﾀの修復中</t>
  </si>
  <si>
    <t>【ｱｳﾄｿｰｼﾝｸﾞ】12団体ｱｳﾄｿｰｼﾝｸﾞ業務順調　当初課税：固定(国東、豊後高田)介護･国保仮算定(宇佐)</t>
  </si>
  <si>
    <t>【大分CSC】当初課税封入封緘:杵築/住宅当初、日田/国保仮算定、ASKと次年度体制の協議(4/3)</t>
  </si>
  <si>
    <t>【標準化・ガバメントクラウド対応】</t>
  </si>
  <si>
    <t>　・MRI＆KPMGとの意見交換会　4/3</t>
  </si>
  <si>
    <t>【その他】</t>
  </si>
  <si>
    <t>　・ITサービス事業部キックオフ＆予算・案件会議　4/10開催予定</t>
  </si>
  <si>
    <t>　・2024年度事業部方針作成</t>
  </si>
  <si>
    <t>【第1Gr】久大化工機　見積業務システム開発　成約</t>
  </si>
  <si>
    <t>【第1Gr】JA大分総合情報センター　人事管理システム改修等　成約</t>
  </si>
  <si>
    <t>【第1Gr】大分液化ガス共同備蓄、大分県消防設備安全協会等　引継挨拶</t>
  </si>
  <si>
    <t>【第2Gr】立命館アジア太平洋大学　APハウス（寮）1、2　VDSL⇒LAN変更作業　現調</t>
  </si>
  <si>
    <t>【第2Gr】明治河野医院　医事会計システムサーバリプレース　受注</t>
  </si>
  <si>
    <t>・内海産業：カーボンノート　CFP算定業務の提案　（ブルードットグリーン協業）</t>
  </si>
  <si>
    <t>・墨田区：カーボンノートを活用した施設ごとの排出量算定業務の提案</t>
  </si>
  <si>
    <t>・JR九州エンジニアリング：車両床下屋根上検査システム構築案件（野﨑事業部長同行にて挨拶）</t>
  </si>
  <si>
    <t>・三愛会：スマートチャージ契約準備、引継対応</t>
  </si>
  <si>
    <t>・羽田次長、成瀬さん：着任に伴う対応など</t>
  </si>
  <si>
    <t>・大分県畜産デジタル推進協議会：畜産共通システム構築⇒開発、協力会社へのオリエンテーション実施</t>
  </si>
  <si>
    <t>・ふくおかフィナンシャルグループ：業者連携機能構築⇒稼働判定会議4/8、本稼働適用4/12</t>
  </si>
  <si>
    <t>・日立製作所：JR四国車両管理システム構築⇒来週中に工程別に注文書が届く予定、要員調整実施</t>
  </si>
  <si>
    <t>・豊後大野市：タイムノート（勤怠管理）導入⇒要件確認中</t>
  </si>
  <si>
    <t>・大分液化ガス共同備蓄：予算管理システム構築⇒SCSK製CELFでシステム構築（協力会社：ノックス）</t>
  </si>
  <si>
    <t>・大銀開発：4月入場(安達、SL野中)…ｶﾞｲﾀﾞﾝｽ受講ほか、次週からの業務開始に向けて準備</t>
  </si>
  <si>
    <t>・JX金属：JC鋳造ｼｽﾃﾑ 検査員情報表示追加(森﨑)、硫酸出荷管理…納期内にﾘﾘｰｽ完(衞藤)</t>
  </si>
  <si>
    <t>・APU情ｼｽ：渡拔さん着任、[支援]新入生窓口対応本格化、[事務]Web履修登録ｻﾎﾟｰﾄ他多忙</t>
  </si>
  <si>
    <t>・APU入試：[国際]'24秋出願増による負荷増継続　[国内]年度統計ﾃﾞｰﾀ作成依頼(8票、短納期)</t>
  </si>
  <si>
    <t>・営業関係：JX金属'24契約元変更…返答待ち、[社名変更]九州NSSOL→日鉄ｿﾘｭｰｼｮﾝｽﾞ九州㈱</t>
  </si>
  <si>
    <t>Health Checker　4/2　デモ実施（福岡市内）</t>
  </si>
  <si>
    <t>車両床下撮影検査システム開発　4/2　打合せ</t>
  </si>
  <si>
    <t>未来の杜グランドオープンセレモニー　4/3　事前打合せ（ドローン・アバター・VR・顔認証）</t>
  </si>
  <si>
    <t>大分県ドローン協議会　4/4　展示会出展分科会・打合せ</t>
  </si>
  <si>
    <t>O-Labo　4/5　2024年度実施内容について打合せ</t>
  </si>
  <si>
    <t>NTT DATA 九州：こどもデータ連携実証 4/4ｸﾛｰｼﾞﾝｸﾞﾐｰﾃｨﾝｸﾞ→ 改善活動で議事録ﾌｫｰﾏｯﾄ作成へ</t>
  </si>
  <si>
    <t>tasCare：2023年度投資開発完了　4/12にクロージングミーティング実施</t>
  </si>
  <si>
    <t>・4/12 オープニングセレモニーに向けて準備・対応中。　　　　・OKPT：4/8 打合せ</t>
  </si>
  <si>
    <t>・盛土情報管理システム：4/10顧客とのキックオフ。　・４月開始PJ順次対応中</t>
  </si>
  <si>
    <t>別府大学：数理DS/AI教育委嘱業務　講義内容を社内向けに『DX大学』として公開</t>
  </si>
  <si>
    <t>ttps://oec.cybozu.com/g/bulletin/view.csp?cid=3&amp;aid=1328</t>
  </si>
  <si>
    <t>サイボウズ全社員向け回覧「2024年度ＤＸプロデュース事業部関連イベント予定について」を</t>
  </si>
  <si>
    <t>参照下さい。</t>
    <rPh sb="0" eb="3">
      <t>サンショウクダ</t>
    </rPh>
    <phoneticPr fontId="1"/>
  </si>
  <si>
    <t>【東日本】・墨田区：施設予約再構築　受注後最初の打合せ実施（大分から坂下さん支援）</t>
  </si>
  <si>
    <t>・さいたま市：基盤構築案件　ドキュメント等納品　構築プロジェクトは完了、今後運用フェーズに突入</t>
  </si>
  <si>
    <t>【西日本】・福井県：財務会計システム関連機器等　現地作業開始　4月末納品</t>
  </si>
  <si>
    <t>・大阪府枚方市：粗大ごみ戸別収集予約受付システム更新打合せ　4/11訪問予定　</t>
  </si>
  <si>
    <t>【九州】山口県：人事管理システム再開発に係る要件定義等業務　RFP公示　4/1　仕様書確認中</t>
  </si>
  <si>
    <t>・福岡県:人事ｼｽﾃﾑ開発及び運用保守業務RFP提案書提出 4/5　・3月議会後の今年度見積契約対応中</t>
  </si>
  <si>
    <t>【東京】さいたま市基盤構築（ドキュメント納品、HW障害対応、問合せ対応等）</t>
  </si>
  <si>
    <t>・東京都LoGo（成果物納品）、人事院PC（キッティング完了）、目黒CS（定例会、点検）</t>
  </si>
  <si>
    <t>・既存顧客異動対応、UCR（NW障害対応）、横浜施設予約（PC障害対応）</t>
  </si>
  <si>
    <t>【大分】(運用業務)　県内・県外：問題無し、社内 異動対応</t>
  </si>
  <si>
    <t>運用：大分県SC、大分市、日田市、滋賀県、香川県、大津市</t>
  </si>
  <si>
    <t>・福井県 財務会計システム基盤構築（環境構築、NW社から機器移動）運用支援業務（年度切替対応）</t>
  </si>
  <si>
    <t>【福井県財務プロジェクト】　メイン工程：設計、開発　4/10 請求書サービス連携協議</t>
  </si>
  <si>
    <t>【第１グループ】　4/8 定例会議（京都府財務）　4/8 新年度システム利用開始（和歌山県電子調達）</t>
  </si>
  <si>
    <t>【第２グループ】　新年度運用開始（人給、人事）　4/9,10（京都府教職員人事研修）</t>
  </si>
  <si>
    <t>【香川グループ】　4/10 運用保守定例会議　【北陸グループ】　4/5 運用保守定例会議</t>
  </si>
  <si>
    <t>【その他】　4/4 京都府会計課長、デジタル推進課長　4/5 福井県審査指導課長　ご挨拶</t>
  </si>
  <si>
    <t>【第１Gr】佐賀財務運用保守　年度始め諸対応、福岡長崎　次工程準備、大分財務　作業支援</t>
  </si>
  <si>
    <t>【第２Gr】福岡県、山口県人事 システムRFP対応、4/10　日立関連業務打合せ（大分　田北対応）</t>
  </si>
  <si>
    <t>【第３Gr】(施設予約)福岡市4/1本稼動開始、大きな問題はなし　(住宅)福岡県および公社運用保守</t>
  </si>
  <si>
    <t>【その他】ﾕｰｻﾞ対応：ﾈｽｺｳｨﾝｸﾞ、FPT、ﾃｸﾉﾌﾟﾛIT</t>
  </si>
  <si>
    <t>　ﾌﾟﾛｼﾞｪｸﾄ完了報告書準備、社内年度始め処理対応</t>
  </si>
  <si>
    <t>【導入Gr】大分県財務会計　4/3収納を初めて行う予定だったが、当社外のミスにより4/4に2日分収納予定</t>
  </si>
  <si>
    <t>　　　　　　支払処理は日々実施中。4/11定例会予定。その他業務は予定通り。</t>
  </si>
  <si>
    <t>【運用Gr】パッケージ保守：今年度対応課題の調整、運用支援：年度切替問い合わせ対応</t>
  </si>
  <si>
    <t>　　　　　　日出町eGモデルデータ排出見積の調整</t>
  </si>
  <si>
    <t>【営業・その他】</t>
  </si>
  <si>
    <t>【営業案件】特になし。　　　　　　　　　　　　　　　　　　　【その他】特になし。</t>
  </si>
  <si>
    <t>【業務関連】</t>
  </si>
  <si>
    <t>　・群馬県財務本稼働支援：4/1-４RS現地支援。次週も継続予定。（竹内）</t>
  </si>
  <si>
    <t>　・運用支援PROJ：【市川市】サーバOS移行Proj準備。　【東松山】【都福祉保健財団】年度切替対応。</t>
  </si>
  <si>
    <t>　・ISEユーコープ：【業績・予算】年度末対応継続。　【調達・在庫数】O/L課題発生、結合準備やや遅延。</t>
  </si>
  <si>
    <t>　　　　　　　　　　　　【商品/フェイス】ST2走行継続。　【宅配・納品】ST1検証、課題対応継続。</t>
  </si>
  <si>
    <t>【大分県財務】県有財産新規開発対応中。一部メンバーは設計支援を行っている</t>
  </si>
  <si>
    <t>　日々の運用で発生した課題対応も並行して進めている</t>
  </si>
  <si>
    <t>【福井県財務】財務会計、共通管理の新規開発対応中</t>
  </si>
  <si>
    <t>　4月はプロパーで開発を立ち上げ５月以降協力会社への展開を予定している</t>
  </si>
  <si>
    <t>【ServiceNow】新年度分契約の遅れ（先方都合）により大分県財務の支援（2名）</t>
  </si>
  <si>
    <t>4/2 事業部キックオフ実施</t>
  </si>
  <si>
    <t>【営業】オークネット：IDLA 次世代PBC構築案件 要件定義フェーズ見積対応</t>
  </si>
  <si>
    <t>【業務】オークネット：4/2 IDLA Nodeバージョンアップ対応本番リリース</t>
  </si>
  <si>
    <t>【業務】オークネット：ARMS、SIPS、GBS各システム受入検証中</t>
  </si>
  <si>
    <t>【業務】GMO：オーディオ機器オークション構築 テスト継続</t>
  </si>
  <si>
    <t>【業務】投資開発：放置自転車管理システム アーキテクチャ検討</t>
  </si>
  <si>
    <t>【導入Gr】4/1福岡市・日南市・粕屋町本稼動、熊本市・大分市導入中</t>
  </si>
  <si>
    <t>【運用Gr】(v2)パスコ小平市カスタマイズ対応、(v3)粕屋町稼働後フォロー、堺市問合せ対応</t>
  </si>
  <si>
    <t>【開発Gr】v3保守(開発・検証)、(v3)福岡市開発</t>
  </si>
  <si>
    <t>【PKG管理Gr】v3投資(2023年度クロージング、2024年度計画)、v3保守、導入支援(杉並区・大分市)</t>
  </si>
  <si>
    <t>【その他】4/4入金機S4FからN3Fに移動、4/3～4坂下Gr長墨田区支援で上京</t>
  </si>
  <si>
    <t>【東日本施設予約導入Gr】　&lt;営業案件&gt;北区：対応検討中</t>
  </si>
  <si>
    <t>堺市キャッシュレス決済の稼働日は継続調整中</t>
  </si>
  <si>
    <t>横浜市：稼動後案件・ｵﾝﾗｲﾝ決済対応中　杉並区：基本設計着手　墨田区：ｶｽﾀﾏｲｽﾞ検討会議(4/3)</t>
  </si>
  <si>
    <t>【東日本施設予約運用Gr】横浜市オンライン決済導入　仕様変更対応要件定義完了</t>
  </si>
  <si>
    <t>　世田谷区、目黒区、墨田区、台東区、中央区、府中市、江戸川区、文京区　月次処理対応</t>
  </si>
  <si>
    <t>【ソリューションサービスGr】堺市本稼働対応中　課題はあるが、随時解消中</t>
  </si>
  <si>
    <t>・安全衛生　　セルフケア情報発信（毎月）</t>
  </si>
  <si>
    <t>　　　　　　　　　再検査該当者への受診勧奨対応中</t>
  </si>
  <si>
    <t>・社内ＤＸ　　Power Eggフィールド見直しに伴うWebDB連携設定変更対応</t>
  </si>
  <si>
    <t>・その他　　　　社宅契約手続き（新規・契約更新）対応中</t>
  </si>
  <si>
    <t xml:space="preserve">                 年度更新作業対応中、横浜市施設予約システム支援</t>
  </si>
  <si>
    <t>・大分県財務総合システム　本稼働対応</t>
  </si>
  <si>
    <t>・福岡県人事システムRFP 提案書校正</t>
  </si>
  <si>
    <t>・4/1DXプロデユース事業部　部次長以上キックオフミーティング</t>
  </si>
  <si>
    <t>・4/2地方創生ソリューション協議会事務局オンライン会議　4/23IBM虎ノ門ヒルズセミナーの打ち合わせ</t>
  </si>
  <si>
    <t>・ChatGTP営業業務効率化のため導入検討</t>
  </si>
  <si>
    <t>・沖電気工業　4/12グランドｵｰﾌﾟﾝ時の警備ロボット展示の打ち合わせ</t>
  </si>
  <si>
    <t>4/1  入社式出席(OECキューブにて)　２３名入社</t>
  </si>
  <si>
    <t>4/2  大分県庁新年度挨拶回り　会計管理者馬場様　商工労働観光部長　利光様他</t>
  </si>
  <si>
    <t>4/3  OISA理事会出席　</t>
  </si>
  <si>
    <t>4/4  ビジネスコンサルタント大木様面談　　JETROセミナー参加(インド、バングラデシュ、パキスタン、スリランカ)</t>
  </si>
  <si>
    <t>4/5 大分県庁挨拶回り　渡辺総務部長、高木審議官　大和ＤＸ推進課長他</t>
  </si>
  <si>
    <t>１．4/12(金)　オープニングイベント　50団体60名の来賓　皆様のご協力ありがとうございました</t>
  </si>
  <si>
    <t>３．イベント　(1) 4/17 令和6年度OISA総会、　(2) 4/26 全社Kick off MTG @レンブラント</t>
  </si>
  <si>
    <t>４．設備　(1) N/F 1F 保安前 通用門運用開始　出退勤時は正面玄関を避け通用門を利用のこと</t>
  </si>
  <si>
    <t>　　　　　　　(2) 建物に入る際はフロアマットを使って足裏の汚れや雨水を落すこと　桜の花びらなどが汚い</t>
  </si>
  <si>
    <r>
      <t>(2025卒 採用活動) 総エントリー数　737人（</t>
    </r>
    <r>
      <rPr>
        <sz val="11"/>
        <color rgb="FFFF0000"/>
        <rFont val="Meiryo UI"/>
        <family val="3"/>
        <charset val="128"/>
      </rPr>
      <t>4/12</t>
    </r>
    <r>
      <rPr>
        <sz val="11"/>
        <color rgb="FF000000"/>
        <rFont val="Meiryo UI"/>
        <family val="3"/>
        <charset val="128"/>
      </rPr>
      <t>時点）　※2次</t>
    </r>
    <r>
      <rPr>
        <sz val="11"/>
        <color rgb="FFFF0000"/>
        <rFont val="Meiryo UI"/>
        <family val="3"/>
        <charset val="128"/>
      </rPr>
      <t>幹部面接終了</t>
    </r>
  </si>
  <si>
    <r>
      <t>　1次選考　応募</t>
    </r>
    <r>
      <rPr>
        <sz val="11"/>
        <color rgb="FF00B0F0"/>
        <rFont val="Meiryo UI"/>
        <family val="3"/>
        <charset val="128"/>
      </rPr>
      <t>32</t>
    </r>
    <r>
      <rPr>
        <sz val="11"/>
        <color rgb="FF000000"/>
        <rFont val="Meiryo UI"/>
        <family val="3"/>
        <charset val="128"/>
      </rPr>
      <t>名　⇒　グループ面接</t>
    </r>
    <r>
      <rPr>
        <sz val="11"/>
        <color rgb="FF00B0F0"/>
        <rFont val="Meiryo UI"/>
        <family val="3"/>
        <charset val="128"/>
      </rPr>
      <t>26</t>
    </r>
    <r>
      <rPr>
        <sz val="11"/>
        <color rgb="FF000000"/>
        <rFont val="Meiryo UI"/>
        <family val="3"/>
        <charset val="128"/>
      </rPr>
      <t>名　⇒　最終面接</t>
    </r>
    <r>
      <rPr>
        <sz val="11"/>
        <color rgb="FF00B0F0"/>
        <rFont val="Meiryo UI"/>
        <family val="3"/>
        <charset val="128"/>
      </rPr>
      <t>16</t>
    </r>
    <r>
      <rPr>
        <sz val="11"/>
        <color rgb="FF000000"/>
        <rFont val="Meiryo UI"/>
        <family val="3"/>
        <charset val="128"/>
      </rPr>
      <t>名　⇒　内定</t>
    </r>
    <r>
      <rPr>
        <sz val="11"/>
        <color rgb="FF00B0F0"/>
        <rFont val="Meiryo UI"/>
        <family val="3"/>
        <charset val="128"/>
      </rPr>
      <t>12</t>
    </r>
    <r>
      <rPr>
        <sz val="11"/>
        <color rgb="FF000000"/>
        <rFont val="Meiryo UI"/>
        <family val="3"/>
        <charset val="128"/>
      </rPr>
      <t>名　⇒　承諾</t>
    </r>
    <r>
      <rPr>
        <sz val="11"/>
        <color rgb="FFFF0000"/>
        <rFont val="Meiryo UI"/>
        <family val="3"/>
        <charset val="128"/>
      </rPr>
      <t xml:space="preserve"> 3</t>
    </r>
    <r>
      <rPr>
        <sz val="11"/>
        <color rgb="FF000000"/>
        <rFont val="Meiryo UI"/>
        <family val="3"/>
        <charset val="128"/>
      </rPr>
      <t>名</t>
    </r>
  </si>
  <si>
    <r>
      <t>　2次選考　応募</t>
    </r>
    <r>
      <rPr>
        <sz val="11"/>
        <color rgb="FF00B0F0"/>
        <rFont val="Meiryo UI"/>
        <family val="3"/>
        <charset val="128"/>
      </rPr>
      <t>30</t>
    </r>
    <r>
      <rPr>
        <sz val="11"/>
        <color rgb="FF000000"/>
        <rFont val="Meiryo UI"/>
        <family val="3"/>
        <charset val="128"/>
      </rPr>
      <t>名　⇒　グループ面接</t>
    </r>
    <r>
      <rPr>
        <sz val="11"/>
        <color rgb="FF00B0F0"/>
        <rFont val="Meiryo UI"/>
        <family val="3"/>
        <charset val="128"/>
      </rPr>
      <t>23</t>
    </r>
    <r>
      <rPr>
        <sz val="11"/>
        <color rgb="FF000000"/>
        <rFont val="Meiryo UI"/>
        <family val="3"/>
        <charset val="128"/>
      </rPr>
      <t>名　⇒　最終面接</t>
    </r>
    <r>
      <rPr>
        <sz val="11"/>
        <color rgb="FF00B0F0"/>
        <rFont val="Meiryo UI"/>
        <family val="3"/>
        <charset val="128"/>
      </rPr>
      <t>14</t>
    </r>
    <r>
      <rPr>
        <sz val="11"/>
        <color rgb="FF000000"/>
        <rFont val="Meiryo UI"/>
        <family val="3"/>
        <charset val="128"/>
      </rPr>
      <t>名　⇒　内定</t>
    </r>
    <r>
      <rPr>
        <sz val="11"/>
        <color rgb="FFFF0000"/>
        <rFont val="Meiryo UI"/>
        <family val="3"/>
        <charset val="128"/>
      </rPr>
      <t>10</t>
    </r>
    <r>
      <rPr>
        <sz val="11"/>
        <color rgb="FF000000"/>
        <rFont val="Meiryo UI"/>
        <family val="3"/>
        <charset val="128"/>
      </rPr>
      <t>名　⇒　承諾</t>
    </r>
    <r>
      <rPr>
        <sz val="11"/>
        <color rgb="FF00B0F0"/>
        <rFont val="Meiryo UI"/>
        <family val="3"/>
        <charset val="128"/>
      </rPr>
      <t xml:space="preserve"> 0</t>
    </r>
    <r>
      <rPr>
        <sz val="11"/>
        <color rgb="FF000000"/>
        <rFont val="Meiryo UI"/>
        <family val="3"/>
        <charset val="128"/>
      </rPr>
      <t>名</t>
    </r>
  </si>
  <si>
    <r>
      <t xml:space="preserve"> 専門選考  応募</t>
    </r>
    <r>
      <rPr>
        <sz val="11"/>
        <color rgb="FF00B0F0"/>
        <rFont val="Meiryo UI"/>
        <family val="3"/>
        <charset val="128"/>
      </rPr>
      <t>13</t>
    </r>
    <r>
      <rPr>
        <sz val="11"/>
        <color rgb="FF000000"/>
        <rFont val="Meiryo UI"/>
        <family val="3"/>
        <charset val="128"/>
      </rPr>
      <t>名　⇒　グループ面接</t>
    </r>
    <r>
      <rPr>
        <sz val="11"/>
        <color rgb="FF00B0F0"/>
        <rFont val="Meiryo UI"/>
        <family val="3"/>
        <charset val="128"/>
      </rPr>
      <t xml:space="preserve">  6</t>
    </r>
    <r>
      <rPr>
        <sz val="11"/>
        <color rgb="FF000000"/>
        <rFont val="Meiryo UI"/>
        <family val="3"/>
        <charset val="128"/>
      </rPr>
      <t>名　⇒　最終面接</t>
    </r>
    <r>
      <rPr>
        <sz val="11"/>
        <color rgb="FF00B0F0"/>
        <rFont val="Meiryo UI"/>
        <family val="3"/>
        <charset val="128"/>
      </rPr>
      <t xml:space="preserve">  4</t>
    </r>
    <r>
      <rPr>
        <sz val="11"/>
        <color rgb="FF000000"/>
        <rFont val="Meiryo UI"/>
        <family val="3"/>
        <charset val="128"/>
      </rPr>
      <t>名　⇒　内定</t>
    </r>
    <r>
      <rPr>
        <sz val="11"/>
        <color rgb="FF00B0F0"/>
        <rFont val="Meiryo UI"/>
        <family val="3"/>
        <charset val="128"/>
      </rPr>
      <t xml:space="preserve"> 2</t>
    </r>
    <r>
      <rPr>
        <sz val="11"/>
        <color rgb="FF000000"/>
        <rFont val="Meiryo UI"/>
        <family val="3"/>
        <charset val="128"/>
      </rPr>
      <t>名   ⇒　承諾</t>
    </r>
    <r>
      <rPr>
        <sz val="11"/>
        <color rgb="FFFF0000"/>
        <rFont val="Meiryo UI"/>
        <family val="3"/>
        <charset val="128"/>
      </rPr>
      <t xml:space="preserve"> 2</t>
    </r>
    <r>
      <rPr>
        <sz val="11"/>
        <color rgb="FF000000"/>
        <rFont val="Meiryo UI"/>
        <family val="3"/>
        <charset val="128"/>
      </rPr>
      <t>名</t>
    </r>
  </si>
  <si>
    <r>
      <rPr>
        <sz val="11"/>
        <color rgb="FF000000"/>
        <rFont val="Meiryo UI"/>
        <family val="3"/>
        <charset val="128"/>
      </rPr>
      <t>※</t>
    </r>
    <r>
      <rPr>
        <sz val="11"/>
        <color rgb="FFFF0000"/>
        <rFont val="Meiryo UI"/>
        <family val="3"/>
        <charset val="128"/>
      </rPr>
      <t>SKYSEAによる電源制御</t>
    </r>
    <r>
      <rPr>
        <sz val="11"/>
        <color rgb="FF000000"/>
        <rFont val="Meiryo UI"/>
        <family val="3"/>
        <charset val="128"/>
      </rPr>
      <t>について説明会実施（4/12、24）→5月上旬より順次実施</t>
    </r>
  </si>
  <si>
    <t>・採用面接対応</t>
  </si>
  <si>
    <t>・新任グループ長(10名)面談</t>
  </si>
  <si>
    <t>・横浜市打合せ</t>
  </si>
  <si>
    <t>・大河内氏：社外アドバイザー就任</t>
  </si>
  <si>
    <t>　プロジェクト推進手順、課題解決、ＰＭ育成等に関する助言や支援を頂く</t>
  </si>
  <si>
    <t>・三谷産業主催　ベトナム事業30周年　視察出張</t>
  </si>
  <si>
    <t>・【CI】　CIディスカッション　案内準備</t>
  </si>
  <si>
    <t>・今季の活動計画（人事戦略、営業戦略）準備</t>
  </si>
  <si>
    <t>・ウフル出向業務のフィードバック　4/15</t>
  </si>
  <si>
    <t>・トラブル発生：千葉県34自治体の業者登録漏れ判明。６月末まで入札できない。随意契約に影響なし。</t>
  </si>
  <si>
    <t>・3月締め　工数按分、外注請求書チェック完了→財務部へ。プロジェクト管理表 確認中。</t>
  </si>
  <si>
    <t>・4/12 横浜の誤発送事故(3/13分)　JISAへ報告書を提出。</t>
  </si>
  <si>
    <t>・入札などの資格要件に「個人情報漏えいがないこと」の記載がないか確認ください。</t>
  </si>
  <si>
    <t>大分市アウトソーシング業務「は過去2年以内に個人情報漏えいがないこと」の資格要件</t>
  </si>
  <si>
    <t>・4/22：内部統制会議、4/30、5/7：経営会議なし、5/13：全社営業会議</t>
  </si>
  <si>
    <r>
      <rPr>
        <sz val="11"/>
        <color rgb="FF000000"/>
        <rFont val="Meiryo UI"/>
        <family val="3"/>
        <charset val="128"/>
      </rPr>
      <t>２．BillOne：データセンター移転機能実装</t>
    </r>
    <r>
      <rPr>
        <sz val="11"/>
        <color rgb="FFFF0000"/>
        <rFont val="Meiryo UI"/>
        <family val="3"/>
        <charset val="128"/>
      </rPr>
      <t>【所有者要対応3件残】</t>
    </r>
  </si>
  <si>
    <t xml:space="preserve">    『要対応』切替の取引先は個別対応をお早めに（該当者へは回覧にてお知らせ済）</t>
  </si>
  <si>
    <r>
      <rPr>
        <sz val="11"/>
        <color rgb="FFFF0000"/>
        <rFont val="Meiryo UI"/>
        <family val="3"/>
        <charset val="128"/>
      </rPr>
      <t xml:space="preserve">３．BillOne切替予定4/15（月）18時～　　　  </t>
    </r>
    <r>
      <rPr>
        <sz val="11"/>
        <color rgb="FF000000"/>
        <rFont val="Meiryo UI"/>
        <family val="3"/>
        <charset val="128"/>
      </rPr>
      <t xml:space="preserve">             　　週報の補足をご確認ください→</t>
    </r>
  </si>
  <si>
    <t>【BillOne受取請求書電子化システム】2024年度更新について</t>
  </si>
  <si>
    <t>　　　※2023年度経費分は年度更新前に回付をお願いします</t>
  </si>
  <si>
    <t>４．３月分の請求書、各種精算書等の回付漏れがあれば至急財務部までご連絡ください</t>
  </si>
  <si>
    <r>
      <rPr>
        <sz val="11"/>
        <color rgb="FF000000"/>
        <rFont val="Meiryo UI"/>
        <family val="3"/>
        <charset val="128"/>
      </rPr>
      <t xml:space="preserve">      ※POWEREGG経費精算他、各種精算書の</t>
    </r>
    <r>
      <rPr>
        <sz val="11"/>
        <color rgb="FFFF0000"/>
        <rFont val="Meiryo UI"/>
        <family val="3"/>
        <charset val="128"/>
      </rPr>
      <t>領収書(紙)は必ず原本の提出</t>
    </r>
    <r>
      <rPr>
        <sz val="11"/>
        <color rgb="FF000000"/>
        <rFont val="Meiryo UI"/>
        <family val="3"/>
        <charset val="128"/>
      </rPr>
      <t>をお願いします</t>
    </r>
  </si>
  <si>
    <t>５．決算対応中（消費税決算、申告書･納付準備）</t>
  </si>
  <si>
    <t>１．【個人情報取扱い】　3/13 横浜SCにて発生分　→　JISA事故報告　（1月報告→「注意」処分）</t>
  </si>
  <si>
    <t>　　個人情報に関わる事故（漏えい、紛失等）は、もう絶対に起こせない状況</t>
  </si>
  <si>
    <t>２．【入札参加資格】　資格要件に抵触すると応札出来ない　→　当社の収益機会のロス</t>
  </si>
  <si>
    <t>　　→　自治体等お客様や住民に迷惑をかけることにもなる</t>
  </si>
  <si>
    <t>３．【新卒採用面接】　人的資本経営、心理的安全性の確保</t>
  </si>
  <si>
    <t>【全団体、教委】R5・R6年度契約関係対応　　【佐伯市、豊後大野市】OCUSA協議会加入説明</t>
  </si>
  <si>
    <t>【臼杵市】端末120台入札仕様作成、概算作成、Adobeオフライン版導入（4/8）</t>
  </si>
  <si>
    <t>【豊後大野市】勤怠管理　要件確認継続中　　【津久見市】栄養管理システム導入　事前打ち合わせ</t>
  </si>
  <si>
    <t>【由布市】今年度分業務委託契約書 修正（個人情報に関する特記事項修正）</t>
  </si>
  <si>
    <t>【大分県教育庁】校務用PC仕様打合せ　　【国東市教委】校務用PC仕様打合せ、概算準備</t>
  </si>
  <si>
    <t>【第2ﾌﾟﾛ】中津市：運用定例会 4/11、日田市：AcroVup本番切替作業許可 4/11、シンクラ定例会 4/12</t>
  </si>
  <si>
    <t>【第3ﾌﾟﾛ】大分県：OKパソコン等一式、MSライセンス　機能証明書 4/15〆切、提案書 5/1〆切　作成中</t>
  </si>
  <si>
    <t>ガバクラ共同回線 各団体見積提示、盛土開発 キックオフ 4/11 → 大分市同席/来年度予算申請相談有り</t>
  </si>
  <si>
    <t>【公共SS】日出町RPA対応4/4、4/11実施。大分県、別府市人事異動作業継続（ﾌｧｲﾙｻｰﾊﾞ、文書管理）</t>
  </si>
  <si>
    <t>【ｴﾝﾄﾘｰ】大分市貨物運送事業者支援事業事務処理センター業務落札 4/10、首藤琉奈さん現場研修 4/9～</t>
  </si>
  <si>
    <t>【公共DX推進Gr】大分市：全庁ネットワーク再構築仕様打合せ、新社屋完成披露パーティー対応</t>
  </si>
  <si>
    <t>施設予約システムパンフレット作成打合せ（佐伯コミュニケーション）、サイボウズガルーンデモ＆トライアル対応</t>
  </si>
  <si>
    <t>竹田市：デジ田交付金（スマート窓口導入）対応、　GMO：大分市向け電子契約提案打合せ</t>
  </si>
  <si>
    <t>【ソリューション推進Gr】窓口DXSaaS 竹田市デジ田交付金RFI仕様書案準備、日田市：RPA開発納品</t>
  </si>
  <si>
    <t>別府市：子育て給付金 通知書データ確定と印刷（4/12）、佐伯市：庶務事務人事異動対応（4/9）</t>
  </si>
  <si>
    <t>【社会ｲﾝﾌﾗ】　IaaS：新年度対応(体制変更など各種更新),社内利用(利用ｻｰﾊﾞ確認、仮想マシン削除)</t>
  </si>
  <si>
    <t>　IDC：通常運用(特に問題なし)、IDCﾌﾛﾝﾃｨｱ(月例報告会、新年度FPI取組み開始)</t>
  </si>
  <si>
    <t>　大分県(次期OKパソコン等調達　提案書及び見積対応)　運用支援(各ﾕｰｻﾞ向け新年度対応継続中)</t>
  </si>
  <si>
    <t>【ﾃｸﾆｶﾙ】　県内保守(官庁40件、文教15件、民間1件)　県外保守(九地整2件)　大分市ﾌﾟﾘﾝﾀCall受付12件</t>
  </si>
  <si>
    <t>【税・収納Gr】　 収納業務・・・滞納繰越全団体完了、住民税&amp;軽自動車税業務・・・当初課税直前リハ中。</t>
  </si>
  <si>
    <t>【住基・福祉Gr】住基CS更新・・・不具合対処方針、製造元より発表⇒今週末(4/13)より適用作業再開。</t>
  </si>
  <si>
    <t>【内部・個別Gr】豊後大野市運用定例会（4/9）、由布市/国保プレス発表(4/9)についてのフォロー実施</t>
  </si>
  <si>
    <t>【保険Gr】　　　 国保/中津市・・・期数変更PJ立上げ、介護保険・・・自治体標準化事前データ移行検証</t>
  </si>
  <si>
    <t>【他】             運用定例会・・・中津市&amp;姫島村（4/11）、臼杵市（4/12）、津久見市（4/16）</t>
  </si>
  <si>
    <t>【標準化Gr】&lt;AcrocityVup&gt;【日田】ﾕｰｻﾞﾃｽﾄ完了､本番切替着手判定会議(4/11)　*稼働は4/22</t>
  </si>
  <si>
    <t>　　　　　　　　　　　　　　　　　　　【宇佐】ﾕｰｻﾞﾃｽﾄ実施中 【杵築】ST…障害発生により停止中、端末展開</t>
  </si>
  <si>
    <t>　　　　　　　　&lt;&lt;障害対応&gt;&gt;杵築/「誤って本番環境を更新」⇒再発防止策の提示、ﾃﾞｰﾀの修復中</t>
  </si>
  <si>
    <t>【ｱｳﾄｿｰｼﾝｸﾞ】12団体ｱｳﾄｿｰｼﾝｸﾞ業務順調　当初課税：固定(日出･佐伯) 軽自(臼杵)</t>
  </si>
  <si>
    <t>【大分CSC】当初課税封入封緘:日田/固定資産、年次:日田/収納済通、例月:日田/杵築順調</t>
  </si>
  <si>
    <t>　・ITサービス事業部キックオフ＆予算・案件会議（グループ長以上）・・・予算確定</t>
  </si>
  <si>
    <t>　・2024年度事業部方針作成＆説明</t>
  </si>
  <si>
    <t>　・ITサービス事業部戦略会議　4/19開催（予定）</t>
  </si>
  <si>
    <t>【第1Gr】ホンダ太陽　ネットワーク機器リプレース　打合せ</t>
  </si>
  <si>
    <t>【第1Gr】大分共同火力　発電設備点検履歴管理システム　見積提示</t>
  </si>
  <si>
    <t>【第2Gr】別府大学　数理・データサイエンス・AI授業　契約対応・キックオフ会議の実施</t>
  </si>
  <si>
    <t>【第2Gr】織部内科クリニック　医事会計システムリプレース　提案、見積提示</t>
  </si>
  <si>
    <t>未来の社　Play Fierd グランドオープンセレモニー対応（出席者のアテンド、駐車場対応等）</t>
  </si>
  <si>
    <t>・福岡銀行：税公金システムヒアリング予定（4/16)　相川支社長同行／福岡県財務との連携</t>
  </si>
  <si>
    <t>・二豊鉄工所、NTF：カーボンノート有償利用切替提案</t>
  </si>
  <si>
    <t>・ジャパン福岡（新規）：自販機設置企業、成瀬氏による紹介企業　案件ヒアリング</t>
  </si>
  <si>
    <t>・社会医療法人帰巖会：インターネット用PC導入　スケジュール調整</t>
  </si>
  <si>
    <t>・2024年度活動計画打合せ（4/8～4/10)　／田﨑副事業部長、松下部長参加</t>
  </si>
  <si>
    <t>・大分県畜産デジタル推進協議会：畜産共通システム構築⇒開発、移行概要打合せ</t>
  </si>
  <si>
    <t>・ふくおかフィナンシャルグループ：業者連携機能構築⇒本稼働適用4/12</t>
  </si>
  <si>
    <t>・日立製作所：JR四国車両管理システム構築⇒計画PMO準備、福岡支社メンバーとの勉強会実施</t>
  </si>
  <si>
    <t>・豊後大野市：タイムノート（勤怠管理）導入⇒要件確認、見積作成中</t>
  </si>
  <si>
    <t>・大分銀行：大分銀行アプリ改修⇒ヒアリング実施4/12</t>
  </si>
  <si>
    <t>・大銀開発：4月入場(安達、SL野中)…ｼｽﾃﾑ検証支援、ﾏﾆｭｱﾙ確認(安達)、ﾌﾟﾘﾝﾄｼｽﾃﾑ更改(野中)</t>
  </si>
  <si>
    <t>・NS九州：試験ｵﾝﾗｲﾝ刷新(試験管理BPM適用) → 運用ﾃｽﾄ済、機能見直し(吉武)、4/22切替本番</t>
  </si>
  <si>
    <t>・APU情ｼｽ：[教研]APﾊｳｽ野良ﾙｰﾀ対策…対処療法による解決　[事務]履修登録ｻﾎﾟｰﾄ済、他問合せ増</t>
  </si>
  <si>
    <t>・APU入試：[国際]'24秋出願増による負荷増継続　[国内]統計ﾃﾞｰﾀ依頼納品、次年度入試仕様検討</t>
  </si>
  <si>
    <t>・営業関係：APUｵﾝﾗｲﾝ入試'23作業完(4/6)、次年度入試仕様に基づくｼｽﾃﾑﾃﾞﾓ実施(4/10)</t>
  </si>
  <si>
    <t>ドローン活用プログラミング教室（宮崎県内）　4/8　2024年度実施内容について打合せ</t>
  </si>
  <si>
    <t>ICT海外展開パッケージ支援事業（ネパール農業IoT） 4/9　関係者打合せ、提案準備中</t>
  </si>
  <si>
    <t>大分県 新産業振興室　4/9　情報交換等、　　九州経済連合会　4/12　情報交換等</t>
  </si>
  <si>
    <t>ドローンショー・ジャパン　4/12　関係者打合せ</t>
  </si>
  <si>
    <t>未来の杜グランドオープンセレモニー　4/10　リハ、　4/12　デモ実施（ドローン・アバター・VR・顔認証）</t>
  </si>
  <si>
    <t>NTTﾃﾞｰﾀ九州：こどもデータ連携実証 2024年度見積対応</t>
  </si>
  <si>
    <t>大分大学教育学部：学習支援アプリ機能改修 見積対応</t>
  </si>
  <si>
    <t>OKPT：4/15 打合せ　，　ヘルスチェッカー全国チェーン企業向け提案書作成中</t>
  </si>
  <si>
    <t>車両床下撮影検査システム：4/15打合せ実施　，　4/15～協力会社(ネパールの方)2名参画</t>
  </si>
  <si>
    <t>DX大学： 第2回「データエンジニアリング」 4/18(木) 14:00−15:30</t>
  </si>
  <si>
    <t>https://oec.cybozu.com/g/bulletin/view.csp?cid=3&amp;aid=1369</t>
  </si>
  <si>
    <t>【東日本】・東京都：ユビレジ社との協業のキャッシュレス・POSレジ案件　残念ながら失注</t>
  </si>
  <si>
    <t>・杉並区：施設予約再構築　インフラ関連のキックオフ参加、個別調達となるHW関連の仕様書作成参画</t>
  </si>
  <si>
    <t>【西日本】・滋賀県：今年度案件ヒアリング　DX推進課訪問　4/19予定</t>
  </si>
  <si>
    <t>・滋賀県大津市：IaaS環境継続利用に関する打合せ等　4/17訪問（塩月事業部長同行）</t>
  </si>
  <si>
    <t>【九州】・国土交通省：九州地方整備局令和6年度端末調達案件　調達公示　4/10　仕様書確認中</t>
  </si>
  <si>
    <t>・福岡県：人事システム開発及び運用保守業務　RFP提案書提出後の内容ヒアリング 4/17予定　</t>
  </si>
  <si>
    <t>【東京】さいたま市基盤構築（運用体制打合せ、配布中継SV障害対応、ドキュメント確認対応等）</t>
  </si>
  <si>
    <t>・施設予約（杉並：NW工程キックオフ、目黒：DDS打合せ、世田谷：施設移転対応）</t>
  </si>
  <si>
    <t>・人事院PC（入間端末納品完了）、東京都美術館（インフォバリア納品設定）</t>
  </si>
  <si>
    <t>【大分】(運用業務)　県内・県外：問題無し、　　　　社内：情報システムGrとの連携</t>
  </si>
  <si>
    <t>・福井県 財務会計システム基盤構築（現地設置・稼働確認作業）大分市 次期基盤更改(仕様書対応)</t>
  </si>
  <si>
    <t>【福井県財務プロジェクト】　メイン工程：設計、開発　4/16 手数料管理システム連携協議</t>
  </si>
  <si>
    <t>【第１グループ】　4/17 定例会議（和歌山調達）FM：客先キックオフ会議（4/17 徳島、4/18 石川）</t>
  </si>
  <si>
    <t>【第２グループ】　人事、人給：新年度問い合わせ対応　4/15,16 京都府教育人事操作研修</t>
  </si>
  <si>
    <t>【香川グループ】　4/12 月次処理、仮年次処理　【北陸グループ】　富山財務：年度切り替え後作業</t>
  </si>
  <si>
    <t>【その他】　4/17 和歌山県総務事務集中課課長　ご挨拶</t>
  </si>
  <si>
    <t>【第１Gr】佐賀財務運用保守　今年度作業計画、大分財務　作業支援継続、日立作業支援</t>
  </si>
  <si>
    <t>【第２Gr】4/17　福岡県人事システムヒアリング、山口県人事システム要件定義　提案書作成</t>
  </si>
  <si>
    <t>【第３Gr】(施設予約)福岡市追加ｶｽﾀﾏｲｽﾞｽｹｼﾞｭｰﾙ調整　(住宅)今年度要望対応の要件整理</t>
  </si>
  <si>
    <t>【その他】4/19 ﾏﾈｼﾞﾒﾝﾄ部会議、各ﾌﾟﾛｼﾞｪｸﾄ完了報告作成</t>
  </si>
  <si>
    <t>　福岡銀行税公金ｼｽﾃﾑ打ち合わせ、4/18 佐賀県財務月次定例会</t>
  </si>
  <si>
    <t>【導入Gr】大分県財務会計　矢野次長現地常駐。問合せ多く現地常駐対応メンバーを増員して対応中。</t>
  </si>
  <si>
    <t>　　　　　　4/11定例会実施。業務体制変更の説明を実施。その他業務は予定通り。</t>
  </si>
  <si>
    <t>【運用Gr】パッケージ保守：今年度対応課題の整理・調整、運用支援：問い合わせ対応</t>
  </si>
  <si>
    <t>　　　　　　前年度プロジェクトの完了報告、今年度プロジェクトの開発計画準備</t>
  </si>
  <si>
    <t>【営業・その他】特になし</t>
  </si>
  <si>
    <t>【営業案件】市川市サーバOS更改(IBM分)見積　【その他】市川市サーバOS更改(市川市分)次週より着手</t>
  </si>
  <si>
    <t>　・群馬県財務本稼働支援：4/8-12RS現地支援（竹内）。次週も継続予定。</t>
  </si>
  <si>
    <t>　・運用支援PROJ：【市川市】新年度人事異動対応ほか。　【東松山】【都福祉保健財団】年度切替対応。</t>
  </si>
  <si>
    <t>　・ISEユーコープ：【保守】年度末対応継続。　【調達・在庫数】O/L課題発生、結合準備やや遅延。</t>
  </si>
  <si>
    <t>　　　　　　　　　　　　【商品/フェイス】ST2走行継続。　【宅配・納品】ST1検証、ST2準備。</t>
  </si>
  <si>
    <t>【大分県財務】県有財産新規開発対応中（一部メンバーは設計支援）</t>
  </si>
  <si>
    <t>　その他　仕様変更、結合戻り対応、協力会社QA対応</t>
  </si>
  <si>
    <t>【ServiceNow】新年度契約の遅れ(先方都合で５月締結予定)により大分県財務のテスト支援（2名）</t>
  </si>
  <si>
    <t>4/11～4/12 東京本社（桑原）</t>
  </si>
  <si>
    <t>4/12 両備システムズ（東京本社）訪問</t>
  </si>
  <si>
    <t>【営業】オークネット：IDLA 次世代PBC構築案件 要件定義フェーズ受注</t>
  </si>
  <si>
    <t>【営業】オークネット：海外GBSモバイルアプリ構築 見積対応中</t>
  </si>
  <si>
    <t>【業務】投資開発：放置自転車管理システム 設計着手</t>
  </si>
  <si>
    <t>【導入Gr】熊本市・大分市導入中、大野城市カスタマイズ打合せ実施、福岡市2024年度カスタマイズ実施中</t>
  </si>
  <si>
    <t>【運用Gr】(v2)パスコ小平市カスタマイズ対応、(v3)粕屋町稼働後フォロー、保守体制協議</t>
  </si>
  <si>
    <t>【PKG管理Gr】v3投資(2023年度クロージング、2024年度計画)、v3保守</t>
  </si>
  <si>
    <t>【その他】4/12 パスコとのv3定例Web会議、4/15 v3.12 社内SE向け説明会実施予定</t>
  </si>
  <si>
    <t>横浜市：次年度案件仕様書案調整実施中</t>
  </si>
  <si>
    <t>横浜市：稼動後案件等対応中　杉並区：基本設計着手、定例会(4/9実施)　墨田区：ｷｯｸｵﾌ調整中</t>
  </si>
  <si>
    <t>　　　　　　オンライン決済機能仕様変更対応実施中</t>
  </si>
  <si>
    <t>【東日本施設予約運用Gr】 運用担当者引継ぎ作業実施中（中央区、目黒区、墨田区、世田谷区）</t>
  </si>
  <si>
    <t>　　　　　　 横浜SC改善のため出張（山本）</t>
  </si>
  <si>
    <t>江戸川区：定例会(4/10) 横浜市：SC担当者会議(4/11)　中央区：定例会(4/12)</t>
  </si>
  <si>
    <t>【ソリューションサービスGr】堺市　課題はあるが安定運用へ、キャッシュレス決済稼働調整中（堺市契約待ち）</t>
  </si>
  <si>
    <t>・安全衛生　　4/25東京本社安全衛生委員会開催予定　再検査該当者への受診勧奨対応中</t>
  </si>
  <si>
    <t>・採用　　　　　キャリア採用　4/17一次面接実施予定</t>
  </si>
  <si>
    <t>・法務　　　　　外注ひな形及び運用について検討対応、事業部門からの相談事項対応</t>
  </si>
  <si>
    <t>・その他　　　　横浜サービスセンタ―改善対応（4/18-19　経営管理部と現地で対応予定）</t>
  </si>
  <si>
    <t>　　　　　　　　　社宅契約手続き（解約、転居、更新）対応　　年度更新作業対応中</t>
  </si>
  <si>
    <t>・大分県財務総合システム　月次定例会出席</t>
  </si>
  <si>
    <t>・ＵＯＳ九州支部案件協業会議（福岡）に出席</t>
  </si>
  <si>
    <t>・営業現場可視化ソリューション打合せ</t>
  </si>
  <si>
    <t>・グランドオープンセレモニーに向けた調整</t>
  </si>
  <si>
    <t>4/8  来年度入社面談</t>
  </si>
  <si>
    <t>4/9  横浜市訪問　福田CIO補佐監他面談</t>
  </si>
  <si>
    <t>4/10 DIS様、BCC様来社</t>
  </si>
  <si>
    <t>4/11 大河内アドバイザー来社、辞令交付式</t>
  </si>
  <si>
    <t>4/12 新社屋オープニングイベント　佐藤知事、足立市長他６０名出席　大変、いいイベントができました</t>
  </si>
  <si>
    <t>１．4/22(月)～　OEC公式Ｘ (@oec_pr) を公開・運用を開始！</t>
  </si>
  <si>
    <t>　　　公式アカウントとして様々な情報発信を予定していますので、まずはフォローをお願いします。</t>
  </si>
  <si>
    <t>２．4/26 全社Kick off MTG @レンブラント</t>
  </si>
  <si>
    <t>　　　16時30分受付開始、16時45分までの入場・着席のこと　ロビーで滞留しないようにご協力ください</t>
  </si>
  <si>
    <t>３．4/24 14:00～ 安全衛生委員会　2024年度は新中計 &gt; 人的資本経営を意識して運営予定</t>
  </si>
  <si>
    <r>
      <t>(2025卒 採用活動) 総エントリー数　</t>
    </r>
    <r>
      <rPr>
        <sz val="11"/>
        <color rgb="FFFF0000"/>
        <rFont val="Meiryo UI"/>
        <family val="3"/>
        <charset val="128"/>
      </rPr>
      <t>741</t>
    </r>
    <r>
      <rPr>
        <sz val="11"/>
        <color rgb="FF000000"/>
        <rFont val="Meiryo UI"/>
        <family val="3"/>
        <charset val="128"/>
      </rPr>
      <t>人（4/</t>
    </r>
    <r>
      <rPr>
        <sz val="11"/>
        <color rgb="FFFF0000"/>
        <rFont val="Meiryo UI"/>
        <family val="3"/>
        <charset val="128"/>
      </rPr>
      <t>19</t>
    </r>
    <r>
      <rPr>
        <sz val="11"/>
        <color rgb="FF000000"/>
        <rFont val="Meiryo UI"/>
        <family val="3"/>
        <charset val="128"/>
      </rPr>
      <t>時点）　※2次幹部面接終了</t>
    </r>
  </si>
  <si>
    <r>
      <t xml:space="preserve">　1次選考　応募32名　⇒　グループ面接26名　⇒　最終面接16名　⇒　内定12名　⇒　承諾 </t>
    </r>
    <r>
      <rPr>
        <sz val="11"/>
        <color rgb="FFFF0000"/>
        <rFont val="Meiryo UI"/>
        <family val="3"/>
        <charset val="128"/>
      </rPr>
      <t>4</t>
    </r>
    <r>
      <rPr>
        <sz val="11"/>
        <color rgb="FF000000"/>
        <rFont val="Meiryo UI"/>
        <family val="3"/>
        <charset val="128"/>
      </rPr>
      <t>名</t>
    </r>
  </si>
  <si>
    <t>　2次選考　応募30名　⇒　グループ面接23名　⇒　最終面接14名　⇒　内定10名　⇒　承諾 0名</t>
  </si>
  <si>
    <t>　3次選考　応募10名　⇒　グループ面接  5名  ⇒　最終面接  2名　⇒　内定xx名  ⇒  承諾xx名</t>
  </si>
  <si>
    <r>
      <t>※SKYSEA電源制御5月開始、</t>
    </r>
    <r>
      <rPr>
        <sz val="11"/>
        <color rgb="FFFF0000"/>
        <rFont val="Meiryo UI"/>
        <family val="3"/>
        <charset val="128"/>
      </rPr>
      <t>ヤングキャリアアドバイザー募集中！</t>
    </r>
    <r>
      <rPr>
        <sz val="11"/>
        <rFont val="Meiryo UI"/>
        <family val="3"/>
        <charset val="128"/>
      </rPr>
      <t>、4月末退職1名</t>
    </r>
  </si>
  <si>
    <t>・第2回目SKYSEA電源制御説明会(4/24)</t>
  </si>
  <si>
    <t>・CIディスカッション(4/26)</t>
  </si>
  <si>
    <t>・全社キックオフ(4/26)</t>
  </si>
  <si>
    <t xml:space="preserve">  ※来期からは開催時間帯の変更検討(定時内に実施)</t>
  </si>
  <si>
    <t>【CI】　CIディスカッション　4/26（副事業部長以上）</t>
  </si>
  <si>
    <t>【キックオフ】基調講演西田氏来社　ヒアリング　4/26　</t>
  </si>
  <si>
    <t>【DX】AWS Organizations による AWS アカウントの管理について</t>
  </si>
  <si>
    <t>通達：AWS OrganizationsによるAWSアカウントの管理</t>
  </si>
  <si>
    <t>【営業】アステム来社 アライアンス検討　4/22</t>
  </si>
  <si>
    <t>【個人情報】大分市入札参加資格の続報。大分市側は個人情報漏えいなしと判断され、入札可となった。</t>
  </si>
  <si>
    <t>【個人情報】4/18-19 横浜サービスセンターへ事務改善の現地確認で３名訪問</t>
  </si>
  <si>
    <t>【情報セキュリティ】ISO27017:2022移行等に伴う改訂の通達発牒。各部、内容を確認のこと。</t>
  </si>
  <si>
    <t>【マネジメント】4/26 マネジメントレビュー開催日(9:00～10:30)、また、部門業務方針の提出期限。</t>
  </si>
  <si>
    <t>【社内システム】「少ない通知で多い成果を – シンプルコミュニケーション」社内の通知削減通達発牒</t>
  </si>
  <si>
    <r>
      <rPr>
        <sz val="11"/>
        <color rgb="FF000000"/>
        <rFont val="Meiryo UI"/>
        <family val="3"/>
        <charset val="128"/>
      </rPr>
      <t>1．BillOne：データセンター移転機能実装</t>
    </r>
    <r>
      <rPr>
        <sz val="11"/>
        <color rgb="FFFF0000"/>
        <rFont val="Meiryo UI"/>
        <family val="3"/>
        <charset val="128"/>
      </rPr>
      <t>【所有者要対応2件残】</t>
    </r>
  </si>
  <si>
    <r>
      <rPr>
        <sz val="11"/>
        <color rgb="FFFF0000"/>
        <rFont val="Meiryo UI"/>
        <family val="3"/>
        <charset val="128"/>
      </rPr>
      <t xml:space="preserve">2．BillOne：新組織コード選択の注意点をご確認ください。　     </t>
    </r>
    <r>
      <rPr>
        <sz val="11"/>
        <color rgb="FF000000"/>
        <rFont val="Meiryo UI"/>
        <family val="3"/>
        <charset val="128"/>
      </rPr>
      <t>　週報の補足をご確認ください→</t>
    </r>
  </si>
  <si>
    <t>https://oec.cybozu.com/g/bulletin/view.csp?cid=9&amp;aid=1385　</t>
  </si>
  <si>
    <t>3．POWEREGG経費精算他、各種精算書の領収書(紙)は必ず原本の提出をお願いします</t>
  </si>
  <si>
    <t>4．２０２３年度決算(税効果計算、消費税決算、申告書作成等）</t>
  </si>
  <si>
    <t>・【役員評価】　4/22（月）役員の考動評価の期限　→　5/10（金）「諮問委員会」予定</t>
  </si>
  <si>
    <t>・【ビジカム】　4/24（水）17:00～ChatGPTハンズオンセミナー</t>
  </si>
  <si>
    <t>　　　　　　　　4/25（木）17:00～ビジコミュ（ビジカム利用者との懇談会）予定</t>
  </si>
  <si>
    <t>・【新卒採用面接3次】　応募者の「人的資本経営や心理的安全性」への関心が増えている印象</t>
  </si>
  <si>
    <t>※個人情報漏えい、紛失など、引き続き細心の注意を！事故は絶対に起こせない状況</t>
  </si>
  <si>
    <t>【全団体、教委】R5・R6年度契約関係対応中　　【豊後大野市】勤怠管理システム　見積準備</t>
  </si>
  <si>
    <t>【由布市】農業再生協議会　複合機更新提案準備　　【国東市】デジ田打合せ（リモート窓口、無線化）</t>
  </si>
  <si>
    <t>【日出町】健康管理システム　RFI対応中　　【竹田市】建設課移転に伴う旧玉来ダム事務所　NW工事</t>
  </si>
  <si>
    <t>【大分県教育庁】大型案件参考見積対応（校務用PC、GIGAタブレット、PDFソフト）</t>
  </si>
  <si>
    <t>【日田市教委、国東市教委、姫島村教委】校務用PC更新　仕様打合せ</t>
  </si>
  <si>
    <t>【第2ﾌﾟﾛ】日田市：AcrocityVup本稼働切替・立会い 4/20-22、宇佐市：eG-Reserve デモ 4/18</t>
  </si>
  <si>
    <t>杵築市：AcrocityVup対応不備による作業停止解除</t>
  </si>
  <si>
    <t>【第3ﾌﾟﾛ】大分県：OKパソコン等一式、MSライセンス　機能証明書 4/15:提出済、提案書 5/1〆切　作成中</t>
  </si>
  <si>
    <t>　　　　　　⇒4/18 改善報告を行い、作業許可を得た</t>
  </si>
  <si>
    <t>ガバクラ回線共同利用：大分県主催の県内市町村会議 4/19  4月中に当社提案に乗るかが決まる予定</t>
  </si>
  <si>
    <t>【公共SS】大分県・大分市・別府市：人事人事異動作業収束、大分県：運用システムの年度切替、順次実施</t>
  </si>
  <si>
    <t>【ｴﾝﾄﾘｰ】MDS・KKC各レセプト入力業務今月処理 4/19終了、サンダイコー契約書入力、ｽｷｬﾆﾝｸﾞ作業　見積中</t>
  </si>
  <si>
    <t>【公共DX推進Gr】大分市：全庁ネットワーク再構築仕様打合せ、令和7年度向け当初予算対応</t>
  </si>
  <si>
    <t>大分市向けBPR（ガバメイツ）説明資料作成、別府市：運用定例会、市報スキャニング仕様書案打合せ</t>
  </si>
  <si>
    <t>宇宙ビジネスに関するすべてが集まる展示会（東京ビッグサイト）参加（4/24～27）</t>
  </si>
  <si>
    <t>【ソリューション推進Gr】窓口DXSaaS 竹田市デジ田交付金RFI仕様書案準備、BCC：健管標準化支援</t>
  </si>
  <si>
    <t>別府市：子育て給付金 給付金振込データ作成確認（4/16）、佐伯市：RPA開発計画打合（4/19）</t>
  </si>
  <si>
    <t>【社会ｲﾝﾌﾗ】　IaaS：TDSL環境ﾈｯﾄﾜｰｸ機器ｱｯﾌﾟｸﾞﾚｰﾄﾞ作業調整、個別対応(臼杵市他)</t>
  </si>
  <si>
    <t>　IDC：通常運用(特に問題なし)、IDCﾌﾛﾝﾃｨｱ(上期業務改善取組み)</t>
  </si>
  <si>
    <t>【NW】　臼杵市教育委員会(ApexOneサーバ構築)、一燈園(Fortigate導入作業)</t>
  </si>
  <si>
    <t>豊後高田市(ﾌﾛｱSW更改、基幹系FW更改)　大分市(次期仮想基盤更改案件：仕様確認&amp;質問対応)</t>
  </si>
  <si>
    <t>【ﾃｸﾆｶﾙ】　県内保守(官庁29件、文教6件、民間1件)　県外保守(九地整3件、福岡県1件)</t>
  </si>
  <si>
    <t>　大分市ﾌﾟﾘﾝﾀCall受付8件、ｽﾎﾟｯﾄ対応(九地整:大分1件、佐賀1件、福岡3件)　</t>
  </si>
  <si>
    <t>【税・収納Gr】    住民税業務・・・特徴課税直前、問合せ増加中。軽自動車税・・・順次当初課税処理中。</t>
  </si>
  <si>
    <t>【住基・福祉Gr】 住基CS更新:豊後大野&amp;竹田完了/津久見住民投票(4/21)期日前など処理立会い</t>
  </si>
  <si>
    <t>【内部・個別Gr】 日出町図書館運用定例会(4/18)、佐伯市/GW操作ミスによるデータリカバリ(4/18)</t>
  </si>
  <si>
    <t>【保険Gr】　　    国保・・・被保険者証発注対応、介護保険・・・自治体標準化事前データ移行検証</t>
  </si>
  <si>
    <t>【他】              第34回OCUSA会議/品質評価委員会(4/25)</t>
  </si>
  <si>
    <t>【標準化Gr】&lt;AcrocityVup&gt;【日田】本番切替4/19～21⇒本番稼働4/22～＊特別保守体制で対応</t>
  </si>
  <si>
    <t>　　　　　　　　　　　　　　　　　　　【宇佐】ﾕｰｻﾞﾃｽﾄ 【杵築】ST…再発防止策を市に承認いただき再開</t>
  </si>
  <si>
    <t xml:space="preserve">【ｱｳﾄｿｰｼﾝｸﾞ】当初課税：固定資産(佐伯※市準備分封筒ｻｲｽﾞ誤りにより4/30へﾘｽｹ対応) </t>
  </si>
  <si>
    <t>　　　　　　　　　　　　　　　　軽自（日出・高田・佐伯・竹田・国東･中津･由布）</t>
  </si>
  <si>
    <t>【大分CSC】OECアウトソーシング：当初課税、年次、例月 年度当初で処理が多いが順調</t>
  </si>
  <si>
    <t>　・ミエデン情報交換会準備</t>
  </si>
  <si>
    <t>　・基幹系運用保守プロジェクト事業部内PMO（2023締め、2024立上げ）　出席4/24（予定）</t>
  </si>
  <si>
    <t>　・事業部方針作成、　ITサービス事業部戦略会議　4/19、　事業部会議4/22開催予定</t>
  </si>
  <si>
    <t>【第1Gr】三和酒類　SophosMDR 導入対応</t>
  </si>
  <si>
    <t>【第1Gr】大分放送　無線AP更改　打合せ</t>
  </si>
  <si>
    <t>【第2Gr】別府発達医療センター　FWのファーム管理を含めた運用支援契約　提案</t>
  </si>
  <si>
    <t>【第2Gr】おおいた健診センター　現行サーバのリプレース提案</t>
  </si>
  <si>
    <t>【第2Gr】児玉病院　ホームページ改修、勤怠管理システム電子カルテ連携　打合せ</t>
  </si>
  <si>
    <t>・ジャパン福岡：見積対応（PCリプレイス）※成瀬氏による紹介企業</t>
  </si>
  <si>
    <t>・電子カルテ導入案件対応：小野内科病院、セント・ルカ（デモ準備）、大分泌尿器科（デモ準備）</t>
  </si>
  <si>
    <t>・おおいた医療ネットワーク ：加入手続き・配線工事スケジュール調整および問合せ対応</t>
  </si>
  <si>
    <t>・新規訪問スケジュール調整（FM福岡、ジャイエイビバレッジさが、トヨタ自動車九州など）</t>
  </si>
  <si>
    <t>・協業パートナー来社対応（ソリトン、日鉄ソリューション、MBSDほか）</t>
  </si>
  <si>
    <t>・日立製作所：JR四国車両管理システム構築⇒計画PMO4/22予定、日立製作所来社4/15</t>
  </si>
  <si>
    <t>・大分市：運送事業者支援策電子申請システム構築業務（公共第２プロデュース部と連携）⇒改修準備</t>
  </si>
  <si>
    <t>・豊後大野市：タイムノート（勤怠管理）導入⇒見積（豊後大野独自分の見積補足回付）</t>
  </si>
  <si>
    <t>・三信産業：工事管理システムリプレイス⇒見積のための要件確認4/23訪問予定</t>
  </si>
  <si>
    <t>・大銀開発：行員による研修継続(安達…行内ｼｽﾃﾑ環境、地銀共同ｾﾝﾀｰ概要、大銀HP更新作業他）</t>
  </si>
  <si>
    <t>・JX金属：精錬所内ｼｽﾃﾑ開発、ﾒﾝﾃ対応…型銅生産管理修正(森﨑)、硫酸出荷管理ｼｽﾃﾑ保守(衞藤)</t>
  </si>
  <si>
    <t>・APU情ｼｽ：LMS関連問合せ増、APﾊｳｽ(学生寮)VDSL接続不具合対応(4/12)、履修修正支援ほか</t>
  </si>
  <si>
    <t>・APU入試：[国際]'24秋出願処理負荷増継続　[国内]次期基幹ｼｽ(R4G:次年度稼働)機能検証</t>
  </si>
  <si>
    <t>・営業関係：APUｵﾝﾗｲﾝ入試4月分請求、住友化学…構内車両使用に関する協議(4/17)</t>
  </si>
  <si>
    <t>ドローン体験会（福岡県内）　4/16　提案に向け協業先との打合せ</t>
  </si>
  <si>
    <t>ICT海外展開パッケージ支援事業（ネパール農業IoT） 4/16　提案に向け協業先との打合せ</t>
  </si>
  <si>
    <t>ドローン活用プログラミング教室（宮崎県内）　4/17　提案に向け顧客との打合せ</t>
  </si>
  <si>
    <t>Salesforce・Slack・Tableau（セールスフォース・ジャパン）　4/17　製品紹介等</t>
  </si>
  <si>
    <t>大分県ドローン協議会　4/19　展示会出展分科会（会議）</t>
  </si>
  <si>
    <t>別府大学：データエンジニアリング基礎講座 第1回動画公開 大学スポット常駐も計画中</t>
  </si>
  <si>
    <t>久大化工機：要件定義ミーティング4/16　要件合意　→　設計工程へ</t>
  </si>
  <si>
    <t>2023年度各PJクロージング＆完了報告回付中、2024年度各PJ立上げ＆キックオフミーティング実施中</t>
  </si>
  <si>
    <t>4/22～ DXクリエイト第1Gr神野さん復帰</t>
  </si>
  <si>
    <t>SPEXA（宇宙ビジネスに関するすべてが集まる展示会） 理経社と共同出展 4/24−26</t>
  </si>
  <si>
    <t>https://www.spexa.jp/tokyo/ja-jp.html</t>
  </si>
  <si>
    <t>【東日本】・墨田区：新保健センター　会議室予約システム　受注</t>
  </si>
  <si>
    <t>・さいたま市：放課後児童クラブシステム稼働支援業務　受注（当社が構築した仮想基盤への追加作業案件）</t>
  </si>
  <si>
    <t>【西日本】・石川県：今年度案件ヒアリング（デジタル推進課、教職員課、資源循環推進課等）4/18訪問</t>
  </si>
  <si>
    <t>・滋賀県大津市：廃棄物収集情報管理システム端末調達　公告　参加申請提出 4/22　入開札　5/7</t>
  </si>
  <si>
    <t>【九州】・山口県：人事要件定義参加申請提出　4/16　・福岡県警：警務課訪問(県警施設管理)4/18</t>
  </si>
  <si>
    <t>・宮崎市：施設予約バージョンアップ調達内容協議　4/17　・鹿児島市：eG-Resourceデモ対応　4/17</t>
  </si>
  <si>
    <t>【東京】さいたま市基盤構築（追加SV打合せ、配布中継SV障害継続対応、ドキュメント対応等）</t>
  </si>
  <si>
    <t>・施設予約（文京：問合せ対応、目黒：キッティング、業者打合せ、世田谷：施設移転対応）</t>
  </si>
  <si>
    <t>・人事院（北区端末納品完了）、目黒CS（CS統合端末アップデート対応）、都美/UCR（定例会、点検）</t>
  </si>
  <si>
    <t>・大分市 次期全庁系基盤更改（実現方法検討）防府市 次期端末基盤更改（要件要望ヒアリング）</t>
  </si>
  <si>
    <t>【福井県財務PJ】　メイン工程：設計、開発　4/18 電子入札システム連携協議　4/24 定例進捗会議</t>
  </si>
  <si>
    <t>【第２グループ】　人事、人給：新年度問い合わせ対応　京都府教育人事：志願書業務対応</t>
  </si>
  <si>
    <t>【香川グループ】　有償案件対応（定額減税）　【北陸グループ】　福井再構築、富山財務運用保守</t>
  </si>
  <si>
    <t>【第１Gr】佐賀財務　次期ﾘﾌﾟﾚｰｽ計画協議、大分財務作業支援(本矢、瓜生田現地支援 ～5/1)</t>
  </si>
  <si>
    <t>【第２Gr】4/24　福岡県、山口県人事PMOレビュー、山口県人事システム要件定義　提案書作成</t>
  </si>
  <si>
    <t>【第３Gr】(施設予約)福岡市 ｶｽﾀﾏｲｽﾞ案件整理、熊本市 ﾏｽﾀ登録　(住宅)延滞金ﾄﾗﾌﾞﾙ対応</t>
  </si>
  <si>
    <t>【その他】4/24 福岡・山口県人事見積PMOﾚﾋﾞｭｰ、4/24 住宅供給公社月次定例会議</t>
  </si>
  <si>
    <t>・新年度ﾏﾈｼﾞﾒﾝﾄ書類整備　・4/26 全社ｷｯｸｵﾌ（増元G長大分本社参加）</t>
  </si>
  <si>
    <t>【導入Gr】大分県財務会計　矢野次長現地常駐。</t>
  </si>
  <si>
    <t>　　　　　　問合せ多く、4/19～5/1 福岡支社　本矢さん、瓜生田さん 現地支援予定</t>
  </si>
  <si>
    <t>【運用Gr】パッケージ保守：今年度対応課題の調整、プロジェクト開発計画書準備</t>
  </si>
  <si>
    <t>　　　　　　運用支援：問い合わせ対応　　その他：前年度プロジェクト完了報告</t>
  </si>
  <si>
    <t>【営業案件】中央区一時保育保守再見積（8-10月分）【その他】特になし</t>
  </si>
  <si>
    <t>　・群馬県財務本稼働支援：4/15-17RS現地支援（竹内）。一時的にテレワーク中。次週以降調整。</t>
  </si>
  <si>
    <t>　・運用支援PROJ：【市川市】市川市サーバOS更改(市川市分)着手。　【東松山】年度切替対応完了。</t>
  </si>
  <si>
    <t>【大分県財務】県有財産新規開発対応中（一部メンバーは設計支援及び開発指示）</t>
  </si>
  <si>
    <t>【福井県財務】財務会計、共通管理、電子決裁の新規開発対応中</t>
  </si>
  <si>
    <t>4/19　FPTと５月以降の体制、契約方針について協議実施</t>
  </si>
  <si>
    <t>4/18　NOSと協議実施（契約遅延の状況説明及び見込について）</t>
  </si>
  <si>
    <t>【営業】GMO：海外向けオートオークション案件ヒアリング</t>
  </si>
  <si>
    <t>【業務】投資開発：放置自転車管理システム 設計・開発着手</t>
  </si>
  <si>
    <t>【導入Gr】熊本市・大分市導入中、大野城市カスタマイズ見積中、福岡市2024年度カスタマイズ実施中</t>
  </si>
  <si>
    <t xml:space="preserve">【運用Gr】(v2)パスコ柏崎 4/19出荷 (v3)問合せ対応、福岡市データ移行修正 </t>
  </si>
  <si>
    <t>【開発Gr】(v2)パスコ帳票カスタマイズ、(v3)保守(開発・検証)、(v3)福岡市開発</t>
  </si>
  <si>
    <t>【PKG管理Gr】v3投資(2023年度完了報告、2024年度計画・要件定義・基本設計)、v3保守</t>
  </si>
  <si>
    <t>【その他】2024年度保守体制決定。関係者に連絡中。4/13 v3.12社内説明会実施</t>
  </si>
  <si>
    <t>横浜市：4/17,18　経営管理部による横浜SC現地視察</t>
  </si>
  <si>
    <t>横浜市：稼動後案件等対応中　杉並区：基本設計対応中、定例会(4/23)　墨田区：ｷｯｸｵﾌ(4/30)</t>
  </si>
  <si>
    <t>世田谷区：定例会(4/16)　墨田区：定例会(4/17)　横浜市：定例会議(4/18)　目黒区：ｷｯｸｵﾌ(4/19)</t>
  </si>
  <si>
    <t>【ｿﾘｭｰｼｮﾝｻｰﾋﾞｽGr】fm千葉市 PPP連携協議実施(活動は6月以降)、堺市ｷｬｯｼｭﾚｽ決済稼働日調整中</t>
  </si>
  <si>
    <t>・採用　　　　　キャリア採用　4/23最終面接実施予定</t>
  </si>
  <si>
    <t>・その他　　　　横浜サービスセンタ―改善対応（4/18-19　経営管理部と現地で対応）</t>
  </si>
  <si>
    <t>　　　　　　　　　世田谷事業所防火管理者選任対応</t>
  </si>
  <si>
    <t>　　　　　　　　　社宅契約手続き（解約、転居、更新）対応</t>
  </si>
  <si>
    <t>・ＤＸプロデュース事業部年間目標営業会議Ⅰ　</t>
  </si>
  <si>
    <t>・セールスフォース　ＤＸ推進企業の集まりに出席</t>
  </si>
  <si>
    <t>・ＵＯＳ九州支部会員企業訪問</t>
  </si>
  <si>
    <t>4/15 第4北越ITソリューションズ(新潟)　堀社長来社　東京本社で開発支援いただく　</t>
  </si>
  <si>
    <t>4/16 福岡支社でサントリーからの出向 成瀬氏と面談  午後　FCA九州支部総会＆例会出席</t>
  </si>
  <si>
    <t>4/17 OISA総会出席　　IPA石田氏　情報処理試験について講演</t>
  </si>
  <si>
    <t>4/19 横浜市役所訪問　CIO補佐監他とプロジェクトの課題改善に向けて会談</t>
  </si>
  <si>
    <t>　　　投稿は申請制、4/19 お知らせ「Ｘ(SNS)を用いた情報発信の取り組み開始について」を参照されたい</t>
  </si>
  <si>
    <t>２．イベント　　(1) 4/26 全社キックオフMTG、　(2) 5/17 決算役員会、</t>
  </si>
  <si>
    <t>　　　(3) 5/18 OECの森林　植樹イベント＠十文字原、　(4) 5月中旬(日程未定)　大分本社避難訓練</t>
  </si>
  <si>
    <t>３．日経ニューオフィス賞　応募作業(～5/15) 『未来の杜P/F』 のブランド力、資産評価向上が目的</t>
  </si>
  <si>
    <r>
      <t>(2025卒 採用活動) 総エントリー数　</t>
    </r>
    <r>
      <rPr>
        <sz val="11"/>
        <color rgb="FFFF0000"/>
        <rFont val="Meiryo UI"/>
        <family val="3"/>
        <charset val="128"/>
      </rPr>
      <t>744</t>
    </r>
    <r>
      <rPr>
        <sz val="11"/>
        <color rgb="FF000000"/>
        <rFont val="Meiryo UI"/>
        <family val="3"/>
        <charset val="128"/>
      </rPr>
      <t>人（4/</t>
    </r>
    <r>
      <rPr>
        <sz val="11"/>
        <color rgb="FFFF0000"/>
        <rFont val="Meiryo UI"/>
        <family val="3"/>
        <charset val="128"/>
      </rPr>
      <t>26</t>
    </r>
    <r>
      <rPr>
        <sz val="11"/>
        <color rgb="FF000000"/>
        <rFont val="Meiryo UI"/>
        <family val="3"/>
        <charset val="128"/>
      </rPr>
      <t>時点）　※</t>
    </r>
    <r>
      <rPr>
        <sz val="11"/>
        <color rgb="FFFF0000"/>
        <rFont val="Meiryo UI"/>
        <family val="3"/>
        <charset val="128"/>
      </rPr>
      <t>3次幹部面接終了</t>
    </r>
  </si>
  <si>
    <t>　1次選考　応募32名　⇒　グループ面接26名　⇒　最終面接16名　⇒　内定12名　⇒　承諾 4名</t>
  </si>
  <si>
    <r>
      <t xml:space="preserve">　2次選考　応募30名　⇒　グループ面接23名　⇒　最終面接14名　⇒　内定10名　⇒　承諾 </t>
    </r>
    <r>
      <rPr>
        <sz val="11"/>
        <color rgb="FFFF0000"/>
        <rFont val="Meiryo UI"/>
        <family val="3"/>
        <charset val="128"/>
      </rPr>
      <t>3</t>
    </r>
    <r>
      <rPr>
        <sz val="11"/>
        <color rgb="FF000000"/>
        <rFont val="Meiryo UI"/>
        <family val="3"/>
        <charset val="128"/>
      </rPr>
      <t>名</t>
    </r>
  </si>
  <si>
    <r>
      <t xml:space="preserve">　3次選考　応募10名　⇒　グループ面接  5名  ⇒　最終面接  2名　⇒　内定 </t>
    </r>
    <r>
      <rPr>
        <sz val="11"/>
        <color rgb="FFFF0000"/>
        <rFont val="Meiryo UI"/>
        <family val="3"/>
        <charset val="128"/>
      </rPr>
      <t>2</t>
    </r>
    <r>
      <rPr>
        <sz val="11"/>
        <rFont val="Meiryo UI"/>
        <family val="3"/>
        <charset val="128"/>
      </rPr>
      <t>名  ⇒  承諾xx名</t>
    </r>
  </si>
  <si>
    <r>
      <t>※SKYSEA電源制御5月から順次開始、4月末退職1名、</t>
    </r>
    <r>
      <rPr>
        <sz val="11"/>
        <color rgb="FFFF0000"/>
        <rFont val="Meiryo UI"/>
        <family val="3"/>
        <charset val="128"/>
      </rPr>
      <t>4/26期末賞与支給（1ヶ月分）</t>
    </r>
  </si>
  <si>
    <t>・社外アドバイザー打合せ(4/25)</t>
  </si>
  <si>
    <t>・品質評価委員会出席(4/26)</t>
  </si>
  <si>
    <t>・マネジメントレビュー出席(4/26)</t>
  </si>
  <si>
    <t>・大分県経営者協会総務委員会</t>
  </si>
  <si>
    <t>【CI】　提案書テンプレート公募案内、CIステッカー配布、CIPJメンバー案内（掲示板）</t>
  </si>
  <si>
    <t>【PM改善】横浜市PJヒアリング（大河内社外アドバイザー）</t>
  </si>
  <si>
    <t>【DX】ベトナム出張報告準備中（5月経営会議報告予定）</t>
  </si>
  <si>
    <t>【営業】Nコム&amp;BCG　営業部門への情報展開＆現場ヒアリング</t>
  </si>
  <si>
    <t>【宇宙WG】報告書取りまとめ中　近日社内案内</t>
  </si>
  <si>
    <t>4/26 2023年度マネジメントレビュー開催。各部、資料の提出や報告等ありがとうございました。</t>
  </si>
  <si>
    <t>横浜サービスセンター訪問(4/18-19) → 課題と改善案の一覧作成。引き続き内容整理や支援を行う。</t>
  </si>
  <si>
    <t>生成AI利用ガイドライン見直し中</t>
  </si>
  <si>
    <t>方針実施計画書提出期限（4/26）、社長診断日程決定　日程は通達確認のこと</t>
  </si>
  <si>
    <t>部門業務方針、社内LAN利用申請書など期限到来分について漏れがないか確認のこと！</t>
  </si>
  <si>
    <t>2．①BillOne：新組織コード選択の注意点をご確認ください。　   　　　  　　　週報の補足をご確認ください→</t>
  </si>
  <si>
    <t>　 　②ＧＷ休暇中はデータ化が停止されます。影響がある取引先へ打診ください。</t>
  </si>
  <si>
    <t>https://oec.cybozu.com/g/bulletin/view.csp?cid=9&amp;aid=1402</t>
  </si>
  <si>
    <t>【予算】　2024年度予算：各事業部の営業利益目標決定　→　予算目標達成に向け頑張りましょう！</t>
  </si>
  <si>
    <t>【決算】　2023年度決算、配当額の検討</t>
  </si>
  <si>
    <t>【ビジカム】　4/25（木）17:00～ビジコミュ（ビジカム利用者との懇談会）開催</t>
  </si>
  <si>
    <t>【新卒採用面接3次】　2名実施</t>
  </si>
  <si>
    <t>【全団体】OCUSA会議・品質評価委員会（4/25）、法改正・給付金　見積対応（健康保険証一体化、</t>
  </si>
  <si>
    <t>大分県教育庁校務用パソコン</t>
  </si>
  <si>
    <t>　　　　　　児童手当異次元の少子化対策、非課税・均等割世帯給付金）</t>
  </si>
  <si>
    <t>　VAIOを第一優先で富士通を2番手として参考見積を提出</t>
  </si>
  <si>
    <t>【豊後大野市】勤怠管理システム導入　成約（4/24）　　【日出町】健康管理システム　RFI対応</t>
  </si>
  <si>
    <t>　予定。（富士通特価対応が厳しい状況）</t>
  </si>
  <si>
    <t>【大分県教育庁】校務用パソコン約4100台　参考見積提出（4/26）</t>
  </si>
  <si>
    <t>【竹田市教委】ICT支援員業務　RFP対応中</t>
  </si>
  <si>
    <t>【第2ﾌﾟﾛ】日田市：AcroVup本稼働 4/22、宇佐市：AcroVup 第3回定例会 4/23、3市1町JV定例会</t>
  </si>
  <si>
    <t>3市1町JV定例会</t>
  </si>
  <si>
    <t>【第3ﾌﾟﾛ】大分県：MSライセンス 5/1入札、令和6年度市町村情報システム標準化・共通化支援業務 4/22公告</t>
  </si>
  <si>
    <t>宇佐市・杵築市(4/23)、日田市(4/24)、九重町(4/25)</t>
  </si>
  <si>
    <t>大分県：OKパソコン レノボの機能証明を提出したが仕様を満たしていなかった事が判明。価格的に厳しい状況。</t>
  </si>
  <si>
    <t>※定例会後にASKより標準化見積提示</t>
  </si>
  <si>
    <t>【公共SS】大分県：各システムの財務連携データ確認（簿冊情報、収納データ、振込用データ）</t>
  </si>
  <si>
    <t>【ｴﾝﾄﾘｰ】 東京都LoGoフォームヘルプデスク業務に関する打合せ 4/24、社内勉強会実施 4/26</t>
  </si>
  <si>
    <t>グループウエア再構築打合せ（サイボウズガルーン提案）、別府市：市報スキャニング仕様書案打合せ</t>
  </si>
  <si>
    <t>豊前市RFI（標準化）対応、ツーリズムおおいた：東京出張(観光DX・マーケティングEXPO 5/8～5/10)</t>
  </si>
  <si>
    <t>【ソリューション推進Gr】窓口DXSaaS 社内営業向けデモ（4/30）、BCC：健管システム標準化支援</t>
  </si>
  <si>
    <t>別府市：子育て給付金 給付金振込データ対応、佐伯市：RPA年間計画打合せ、防災ラジオ（4/19）</t>
  </si>
  <si>
    <t>【社会ｲﾝﾌﾗ】　IaaS：TDSL環境ﾈｯﾄﾜｰｸ機器ｱｯﾌﾟｸﾞﾚｰﾄﾞ作業調整、ｽﾄﾚｰｼﾞ更改準備(容量等の構成検討)</t>
  </si>
  <si>
    <t>【NW】　大分県次期OKﾊﾟｿｺﾝ入札対応、帰巖会(一般系ﾃﾞｽｸﾄｯﾌﾟ･ﾉｰﾄﾊﾟｿｺﾝ関連更新 5/2 ｷｯｸｵﾌ)</t>
  </si>
  <si>
    <t>　一燈園(Fortigate導入作業、配線工事後の本院整線作業)、豊後高田市(ﾌﾛｱSW更改、基幹系FW更改)完了　</t>
  </si>
  <si>
    <t>【ﾃｸﾆｶﾙ】　県内保守(官庁37件、文教6件)　県外保守(九地整3件、福岡県1件)、大分市ﾌﾟﾘﾝﾀCall受付6件</t>
  </si>
  <si>
    <t>　ｽﾎﾟｯﾄ対応(九地整:大分1件、佐賀1件、福岡4件)　※新年度契約データ登録作業</t>
  </si>
  <si>
    <t>【税・収納Gr】    住民税業務・・・特徴課税実施中。各種PKG不具合対応に追われている状況。</t>
  </si>
  <si>
    <t>【住基・福祉Gr】 津久見市／住民投票実施(4/21) ⇒ 投開票まで無事全て完了。</t>
  </si>
  <si>
    <t>【内部・個別Gr】 日出町／図書館運 貸出ゲート不調・・・現地調査実施（4/25）</t>
  </si>
  <si>
    <t>【保険Gr】　　    国保・・・被保険者証発一体化対応、介護・後期・・・自治体標準化事前データ移行検証</t>
  </si>
  <si>
    <t xml:space="preserve">【他】】             第34回OCUSA会議/品質評価委員会(4/25)、運用保守定例会・・・由布市（4/30）             </t>
  </si>
  <si>
    <t>【標準化Gr】&lt;AcrocityVup&gt;【日田】本番稼働4/22～…順調　【宇佐】ﾕｰｻﾞﾃｽﾄ　【杵築】ST</t>
  </si>
  <si>
    <t xml:space="preserve">               &lt;大分県/標準化支援事業&gt;ｷｯｸｵﾌ開催(4月～5月契約分)</t>
  </si>
  <si>
    <t>【ｱｳﾄｿｰｼﾝｸﾞ】12団体ｱｳﾄｿｰｼﾝｸﾞ業務順調　当初課税：民税特徴（臼杵・由布･国東･竹田･佐伯）</t>
  </si>
  <si>
    <t>【大分CSC】 定例会：4/23 杵築市、4/24 日田市、4/25 JV事業推進委員会</t>
  </si>
  <si>
    <t>【他】特になし</t>
  </si>
  <si>
    <t>　・ミエデン情報交換会　参加5/1（予定）</t>
  </si>
  <si>
    <t>　・基幹系運用保守プロジェクト事業部内PMO　4/24出席</t>
  </si>
  <si>
    <t>　・事業部方針作成・展開、　事業部会議4/22開催</t>
  </si>
  <si>
    <t>【第1Gr】城島高原オペレーションズ　POSリプレイス 打合せ</t>
  </si>
  <si>
    <t>【第1Gr】三信産業　工事管理システム等　打合せ</t>
  </si>
  <si>
    <t>【第1Gr】大分銀行紹介案件（友岡組、佐伯富士甚等） 打合せ</t>
  </si>
  <si>
    <t>【第2Gr】佐賀県教育委員会　次期教育情報システム基本設計調達打合せ（提案書5/20締切）</t>
  </si>
  <si>
    <t>【第2Gr】村上記念病院　介護支援システムサーバリプレース　大分リース経由にて受注</t>
  </si>
  <si>
    <t>・carbonote：二豊鉃工所 成約、エコテクノ展　出展社説明会参加</t>
  </si>
  <si>
    <t>・pickture：西武ライオンズ フリートライアル、京都鉄道博物館 LP問合せ対応</t>
  </si>
  <si>
    <t>・tasCare：大分県病院学会およびCareTEX福岡　出展準備</t>
  </si>
  <si>
    <t>・社会医療法人帰巖会（豊後大野市）：インターネット用ＰＣリプレース案件対応</t>
  </si>
  <si>
    <t>・ユーザー訪問：FM福岡、エムシーヘルスケア、富士通Japan、SBS、カナデン、豊後高田市ほか</t>
  </si>
  <si>
    <t>・大分県畜産デジタル推進協議会：畜産共通システム構築⇒開発、移行要件確認中</t>
  </si>
  <si>
    <t>・日立製作所：JR四国車両管理システム構築⇒日立主催勉強会実施、基本設計開始</t>
  </si>
  <si>
    <t>・豊後大野市：タイムノート（勤怠管理）導入⇒プロジェクト計画書準備（先行発注受領）</t>
  </si>
  <si>
    <t>・ふくおかフィナンシャルグループ：WEBポータルBaaS対応⇒概算見積作成中</t>
  </si>
  <si>
    <t>・大分県消防設備安全協会：ラベル発行システム構築⇒客先検討中（理事会）</t>
  </si>
  <si>
    <t>・NS九州：試験ｵﾝﾗｲﾝｼｽﾃﾑ刷新 →　4/22本番切替、稼働後24H監視継続のため多忙(吉武)</t>
  </si>
  <si>
    <t>・オーシー：信販会社PKG(OC9)開発→ﾜﾝﾀｲﾑﾊﾟｽﾜｰﾄﾞ認証追加(猿渡)、割賦枠の抽出対応(小野)他</t>
  </si>
  <si>
    <t>・APU情ｼｽ：[事務]APU1年目職員向け研修…松吉登壇(ｾｷｭﾘﾃｨ関連)、研修参加(渡拔、後藤有)</t>
  </si>
  <si>
    <t>・APU入試：[国際]出願ｼｽﾃﾑ”Slate”'25試験年度設定準備　[国内]面接試験(4/27)準備</t>
  </si>
  <si>
    <t>・営業関係：APUｵﾝﾗｲﾝ入試今年度案件見積　・ｴﾚﾜｲｽﾞ関係：国東市民病院、竹田市図書館</t>
  </si>
  <si>
    <t>先端技術挑戦プロジェクト加速化事業（宇宙VR）　4/22　販売に関する関係者打合せ</t>
  </si>
  <si>
    <t>JISA　4/23　生成AIによる開発プロセスの再定義（勉強会）参加</t>
  </si>
  <si>
    <t>大分メタバース活用検討会　4/23　オンライン例会　参加</t>
  </si>
  <si>
    <t>SPEXA　4/24～26　共同出展（衛星データ活用、宇宙VR）</t>
  </si>
  <si>
    <t>Japan Drone 2024（6/5～6/7）　出展準備中（大分県ドローン協議会他、関係各社取りまとめ中）</t>
  </si>
  <si>
    <t>宇宙：各種公募準備（大分県宇宙ビジネス創出支援事業、経産省衛星データ無料利用事業）</t>
  </si>
  <si>
    <t>ビジカム：4/24 ChatGPT実践セミナー 講師：若林 、4/25 利用者(2名)交流会「ビジコミュ」</t>
  </si>
  <si>
    <t>AWS・DIS・OEC技術交流会参加，　盛土情報管理システム：5/1 要件定義実施</t>
  </si>
  <si>
    <t>大分市公式アプリ：令和7年度予算化に向けた概算見積作成中</t>
  </si>
  <si>
    <t>【DX大学】 データエンジニアリング基礎第4回 データの収集 4/30（火）16:00～17:30</t>
  </si>
  <si>
    <t>https://oec.cybozu.com/g/bulletin/view.csp?cid=3&amp;aid=1423</t>
  </si>
  <si>
    <t>【東日本】・千葉県船橋市：粗大ゴミ受付管理システム導入のRFP公示　参加申請と仕様書確認に取掛かり中</t>
  </si>
  <si>
    <t>・墨田区／目黒区：施設予約　プロジェクトキックオフ実施（墨田区は再構築、目黒区は大規模改修案件）</t>
  </si>
  <si>
    <t>【西日本】・兵庫県加東市：施設予約システムバージョンアップ対応　当社顧客である東近江市視察(5/1)</t>
  </si>
  <si>
    <t>・滋賀県大津市：廃棄物収集情報管理システム端末調達　公告　入開札　5/7　当社とも1社応札予定</t>
  </si>
  <si>
    <t>【九州】・山口県：人事管理システム再開発に係る要件定義業務 入札書提案書提出（5/1予定）</t>
  </si>
  <si>
    <t>・熊本県菊池市：情報政策課訪問（施設予約バージョンアップ打合せ）4/30予定</t>
  </si>
  <si>
    <t>【東京】さいたま市基盤構築（配布中継SV障害継続対応、新住記本番切替準備、コンソールPC移設等）</t>
  </si>
  <si>
    <t>・さいたま市基盤構築（配布中継SV障害継続対応、新住記本番切替準備、コンソールPC移設等）</t>
  </si>
  <si>
    <t>・大分市 次期全庁系基盤更改（実現方法検討）福井県財務会計基盤（NW接続、稼働確認、UPS設定）</t>
  </si>
  <si>
    <t>【福井県財務PJ】　メイン工程：設計、開発　4/24 定例進捗会議、請求書サービス連携協議</t>
  </si>
  <si>
    <t>【第１グループ】　5/17 京都府財務定例会議　和歌山県調達システム：物品管理年度締め対応</t>
  </si>
  <si>
    <t>【第２グループ】　愛知県東海市：会計年度勤勉手当対応　新潟県五泉市：定額減税対応</t>
  </si>
  <si>
    <t>【その他】　特になし</t>
  </si>
  <si>
    <t>【第１Gr】佐賀財務　運用保守特に問題なし、大分財務支援(本矢、瓜生田 休日出勤対応)</t>
  </si>
  <si>
    <t>【第２Gr】5/1　山口県人事システム提案書提出期限　5/10　ヒアリング予定</t>
  </si>
  <si>
    <t>【第３Gr】(施設予約)福岡市 追加ｶｽﾀﾏｲｽﾞ対応、熊本市 ﾏｽﾀ登録　(公社)要望対応案件整理</t>
  </si>
  <si>
    <t>【その他】・5/10福岡県人事システム入札書提出期限、5/1ｸﾞﾗﾋﾞｽｱｰｷﾃｸﾂ社電子請求説明</t>
  </si>
  <si>
    <t>4/24 住宅供給公社月次定例会議、日立JR四国ﾌﾟﾛｼﾞｪｸﾄｷｯｸｵﾌ参加</t>
  </si>
  <si>
    <t>【導入Gr】大分県財務会計　矢野次長、本矢さん、瓜生田さん現地常駐。引き続き問い合わせ多い。</t>
  </si>
  <si>
    <t>　　　　　　4月中の収束を目指す。</t>
  </si>
  <si>
    <t>【営業案件】特になし　　　　　　　　　　　　　　　　　　　　【その他】MRIメンバーGW休暇（臨時1名以外）</t>
  </si>
  <si>
    <t>　・群馬県財務本稼働支援：4/23-24RS現地支援（竹内）。日次月次支援（後藤）。</t>
  </si>
  <si>
    <t>　・運用支援PROJ：【市川市】市川市サーバOS更改(市川市分)着手。　【東松山】定年延長対応完了。</t>
  </si>
  <si>
    <t>　・ISEユーコープ：【保守】24年度マスタリリース対応。　【調達・在庫数】結合遅延回復、ST1準備。</t>
  </si>
  <si>
    <t>　　　　　　　　　　　　【商品/フェイス】ST2走行継続。遅延。　【宅配・納品】ST1検証、ST2準備。</t>
  </si>
  <si>
    <t>【大分県財務】県有財産新規開発対応中（一部メンバーはテスト支援で参画）</t>
  </si>
  <si>
    <t>　５月以降の開発増員に向けてFPT、COM-ONEと協議継続中。</t>
  </si>
  <si>
    <t>【ServiceNow】4/25 新年度契約に係る請書送付済み　作業指示を待って２名参画</t>
  </si>
  <si>
    <t>【営業】オークネット：海外GBSモバイルアプリ構築 見積対応</t>
  </si>
  <si>
    <t>【営業】GMO：コマツ向け建機オークション案件ヒアリング</t>
  </si>
  <si>
    <t>【業務】GMO：オーディオ機器オークション構築 受入テスト継続</t>
  </si>
  <si>
    <t>【業務】投資開発：放置自転車管理システム 設計・開発継続</t>
  </si>
  <si>
    <t xml:space="preserve">【運用Gr】(v2)パスコ柏崎、市原　出荷　(v3)問合せ対応、福岡市データ移行修正検証中 </t>
  </si>
  <si>
    <t>【開発Gr】(v3)大分市データ変換用クエリ作成、(v3)保守(開発・検証)、(v3)福岡市開発</t>
  </si>
  <si>
    <t>【PKG管理Gr】v3投資(役員会、資産計上案件稟議、開始準備、要件定義、基本設計)、v3保守</t>
  </si>
  <si>
    <t>【その他】プロジェクト計画PMO(v2保守、v2パスコ保守、v3保守、投資)開催の調整中</t>
  </si>
  <si>
    <t>横浜市：横浜SC業務改善に向け対策チーム設置</t>
  </si>
  <si>
    <t>横浜市：稼動後案件等対応中　杉並区：詳細設計着手、定例会(4/23)　墨田区：ｷｯｸｵﾌ(4/30)</t>
  </si>
  <si>
    <t xml:space="preserve">横浜市：SC担当者会議(4/24), 定例会(4/25)  文京区：施設向け定例会(4/26) </t>
  </si>
  <si>
    <t>【ｿﾘｭｰｼｮﾝｻｰﾋﾞｽGr】千葉県船橋市粗大ごみ受付ｼｽﾃﾑ公示、㈱ｴｽﾌﾟｰﾙｸﾞﾛｰｶﾙと協業して提案予定</t>
  </si>
  <si>
    <t>堺市ｷｬｯｼｭﾚｽ決済稼働日調整中（堺市と決済業者の契約待ち）</t>
  </si>
  <si>
    <t>・安全衛生　　4/25東京本社安全衛生委員会開催　セルフケア情報発信</t>
  </si>
  <si>
    <t>・法務　　　　　東京本社案件相談事項対応</t>
  </si>
  <si>
    <t>・その他　　　　横浜サービスセンタ―改善　ソリューションサービス部・経営管理部と連携対応中</t>
  </si>
  <si>
    <t>・大分県財務総合システム本稼働支援</t>
  </si>
  <si>
    <t>・山口県人事システム要件定義業務　提案書校正</t>
  </si>
  <si>
    <t>・社内PM育成、PMO再構築関係協議</t>
  </si>
  <si>
    <t>・2024年度ＤＸプロデユース事業部内予算調整会議（２回目）</t>
  </si>
  <si>
    <t>・東京出張：富士通Japan（株）警察ソリューション部、エムシーヘルスケア（株）訪問</t>
  </si>
  <si>
    <t>　　　　　　　　東京ビックサイト　JapanＩＴWeekとＳＰＥＸＡ（宇宙ビジネス展）</t>
  </si>
  <si>
    <t>　　　　　　　　地方創生ソリューション協議会セミナー開催（日本IBM虎ノ門ヒルズ）</t>
  </si>
  <si>
    <t>　　　4/19 お知らせ「Ｘ(SNS)を用いた情報発信の取り組み開始について」に基づき、トライアルの発信を！</t>
  </si>
  <si>
    <t>２．イベント　　(1) 5/17 決算役員会、(2) 5/18 OECの森林　植樹イベント＠十文字原、　</t>
  </si>
  <si>
    <t>　　　(3) 5/25 新社屋写真撮影(予定) 社員への協力要請アリ、　(4) 5/29 大分本社避難訓練(予定)</t>
  </si>
  <si>
    <r>
      <t>(2025卒 採用活動) 総エントリー数　</t>
    </r>
    <r>
      <rPr>
        <sz val="11"/>
        <color rgb="FFFF0000"/>
        <rFont val="Meiryo UI"/>
        <family val="3"/>
        <charset val="128"/>
      </rPr>
      <t>746</t>
    </r>
    <r>
      <rPr>
        <sz val="11"/>
        <color rgb="FF000000"/>
        <rFont val="Meiryo UI"/>
        <family val="3"/>
        <charset val="128"/>
      </rPr>
      <t>人（</t>
    </r>
    <r>
      <rPr>
        <sz val="11"/>
        <color rgb="FFFF0000"/>
        <rFont val="Meiryo UI"/>
        <family val="3"/>
        <charset val="128"/>
      </rPr>
      <t>5/10</t>
    </r>
    <r>
      <rPr>
        <sz val="11"/>
        <color rgb="FF000000"/>
        <rFont val="Meiryo UI"/>
        <family val="3"/>
        <charset val="128"/>
      </rPr>
      <t>時点）　※</t>
    </r>
    <r>
      <rPr>
        <sz val="11"/>
        <rFont val="Meiryo UI"/>
        <family val="3"/>
        <charset val="128"/>
      </rPr>
      <t>3次幹部面接終了</t>
    </r>
  </si>
  <si>
    <r>
      <t xml:space="preserve">　大卒1～3次選考　応募72名　⇒　最終面接32名　⇒　内定24名　⇒　承諾 </t>
    </r>
    <r>
      <rPr>
        <sz val="11"/>
        <color rgb="FFFF0000"/>
        <rFont val="Meiryo UI"/>
        <family val="3"/>
        <charset val="128"/>
      </rPr>
      <t>8</t>
    </r>
    <r>
      <rPr>
        <sz val="11"/>
        <color rgb="FF000000"/>
        <rFont val="Meiryo UI"/>
        <family val="3"/>
        <charset val="128"/>
      </rPr>
      <t xml:space="preserve">名  </t>
    </r>
    <r>
      <rPr>
        <sz val="10"/>
        <color rgb="FF000000"/>
        <rFont val="Meiryo UI"/>
        <family val="3"/>
        <charset val="128"/>
      </rPr>
      <t>※専門卒内定2名</t>
    </r>
  </si>
  <si>
    <t>(SKYSEA電源制御)　5/10より順次スタート　※20:50に館内放送で注意喚起予定</t>
  </si>
  <si>
    <t>(社内研修) 昨年に引き続き、職場指導員(メンター)研修決定　参加者募集（6月中旬＋8月）</t>
  </si>
  <si>
    <t>※5月末退職 2名、6月入社 2名、ヤングキャリアアドバイザー1名申し込み</t>
  </si>
  <si>
    <t>・役員研修参加(5/7～8)</t>
  </si>
  <si>
    <t>・横浜市打合せ(5/9)</t>
  </si>
  <si>
    <t>・財界九州社打合せ(5/10)</t>
  </si>
  <si>
    <t>　　 ※新社屋建設を記事掲載して頂きます。</t>
  </si>
  <si>
    <t>・人事施策協議　※後日外部コンサルと打合せ予定</t>
  </si>
  <si>
    <t>【CI】　CI役員ディスカッション報告、CIWeb背景公開（掲示板）</t>
  </si>
  <si>
    <t>【CI】　提案書テンプレート案の募集中　5/20（月）まで</t>
  </si>
  <si>
    <t>お知らせ（CI）</t>
  </si>
  <si>
    <t>【戦略】　営業戦略/新規事業関連計画中</t>
  </si>
  <si>
    <t>【DXWG】　2024年度のDXリーダー決定、近日社内通達予定</t>
  </si>
  <si>
    <t>【宇宙WG】　報告書取りまとめ中　近日社内案内</t>
  </si>
  <si>
    <t>各種年度更新　外注契約稟議は落ち着いたが、各部、漏れの確認や契約書回収まで確実に。</t>
  </si>
  <si>
    <t>SE日報システムの個人単価設定（大幅増額あり。2024当初予算、退職金の積立等が原因）</t>
  </si>
  <si>
    <t>環境側面洗い出し調査票　各部へ作成を依頼中　期限:5/15(水) ワークフローで提出のこと</t>
  </si>
  <si>
    <t>ChatGPT利用案内　　ChatGPTを利用したい方は稟議起案の上ご利用ください</t>
  </si>
  <si>
    <t>2024社長診断 通達発牒　5/21(火) 9:00～　ITサービス事業部から開始</t>
  </si>
  <si>
    <t>通達2024-022</t>
  </si>
  <si>
    <r>
      <rPr>
        <sz val="11"/>
        <color rgb="FF000000"/>
        <rFont val="Meiryo UI"/>
        <family val="3"/>
        <charset val="128"/>
      </rPr>
      <t>1．BillOne：データセンター移転機能実装</t>
    </r>
    <r>
      <rPr>
        <sz val="11"/>
        <color rgb="FFFF0000"/>
        <rFont val="Meiryo UI"/>
        <family val="3"/>
        <charset val="128"/>
      </rPr>
      <t>【所有者要対応2件残】</t>
    </r>
    <r>
      <rPr>
        <sz val="11"/>
        <color rgb="FF000000"/>
        <rFont val="Meiryo UI"/>
        <family val="3"/>
        <charset val="128"/>
      </rPr>
      <t>（該当者へは回覧にてお知らせ済）</t>
    </r>
  </si>
  <si>
    <t>2．BillOne：新組織コード選択の注意点をご確認ください。　   　　　  　　　週報の補足をご確認ください→</t>
  </si>
  <si>
    <t>4．４月分の請求書などは前回分を流用せず、2024年度経費ｺｰﾄﾞにて回付をお願いします。</t>
  </si>
  <si>
    <t>１．【諮問委員会】　5/10（金）開催済み</t>
  </si>
  <si>
    <t>２．【事業報告書】　計算書類の税理士チェック済み→監査役の監査中</t>
  </si>
  <si>
    <t>３．【決算取締役会】　5/17（金）15:00～予定　SｰField　役員会議室</t>
  </si>
  <si>
    <t>【全団体】調整給付金対応アウトソーシング（封入封緘、コールセンター、審査・入力）　見積対応、</t>
  </si>
  <si>
    <t>　　　　　　住基CS機器更新　社内打合せ（6月中に契約目標）</t>
  </si>
  <si>
    <t>【臼杵市】端末120台　入札対応（5/15開札）　　【国東市】端末106台　入札準備対応</t>
  </si>
  <si>
    <t>【津久見市】SKYSEAサーバ更新　契約準備（仕様書作成）、勤怠管理システム　提案（5/22デモ）</t>
  </si>
  <si>
    <t>【竹田市】庁内DX化事業(ローカルブレイクアウト、情報系ADサーバ導入等)　協業会社打合せ</t>
  </si>
  <si>
    <t xml:space="preserve">【第2ﾌﾟﾛ】宇佐市：AcroVup本番切替着手判定⇒承認 5/8、杵築市：図書館システム（LicsRe）デモ 5/10 </t>
  </si>
  <si>
    <t>【第3ﾌﾟﾛ】大分県：MSライセンス（他社が原価割れで落札）、市町村標準化・共通化支援 提案書提出 5/10</t>
  </si>
  <si>
    <t>行政システム九州：標準化パートナー向け初期費用説明 5/10</t>
  </si>
  <si>
    <t>OKパソコン 入札・提案書提出 5/1（価格点:600点中約11点差で2位）、審査会（プレゼン･ヒアリング）5/10</t>
  </si>
  <si>
    <t>大分県：市町村情報システム標準化・共通化支援 プレゼン5/15</t>
  </si>
  <si>
    <t>【公共SS】大分県、大分市、別府市とも運用順調。日出町RPA運用支援実施</t>
  </si>
  <si>
    <t>【ｴﾝﾄﾘｰ】 大分市商工労政課：貨物運送事業者支援金打合せ 5/2　 5/20開始に向け準備中</t>
  </si>
  <si>
    <t>自治人材育成センターDX研修、ツーリズムおおいた：東京出張(観光DX・マーケティングEXPO)</t>
  </si>
  <si>
    <t>【ｿﾘｭｰｼｮﾝ推進Gr】窓口DXSaaS 竹田市デジ田対応と機能改善整理、BCC：健管システム標準化支援</t>
  </si>
  <si>
    <t>別府市：国保標準システム様式変更PTF適用（5/10）、佐伯市：RPA改修、防災ラジオ対応（5/8）</t>
  </si>
  <si>
    <t>【社会ｲﾝﾌﾗ】　IaaS：TDSL(岡山電入ｼｽﾃﾑ:Weblogicﾊﾞｰｼﾞｮﾝｱｯﾌﾟ対応)、個別対応(中津市、社内)</t>
  </si>
  <si>
    <t>　IDC：通常運用(特に問題なし)、IDCﾌﾛﾝﾃｨｱ(月例報告会 5/10実施)</t>
  </si>
  <si>
    <t>【NW】　大分県(次期OKﾊﾟｿｺﾝ等)ﾌﾟﾚｾﾞﾝ5/10対応、臼杵市(行政ｲﾝﾄﾗｸﾞﾛｰﾊﾞﾙIPｱﾄﾞﾚｽ変更作業:打合せ)</t>
  </si>
  <si>
    <t>　由布市(基幹系SW及び消防署SW更改)、一燈園(Fortigate導入作業)</t>
  </si>
  <si>
    <t>【ﾃｸﾆｶﾙ】　県内保守(官庁17件、文教3件)　大分市ﾌﾟﾘﾝﾀCall受付3件</t>
  </si>
  <si>
    <t>その他：EDIX東京(教育総合展:東京ﾋﾞｯｸｻｲﾄ　5/8～5/10)橋本、加藤2名出張</t>
  </si>
  <si>
    <t>【税・収納Gr】    個人住民税業務・・・普徴課税に向け準備中、特徴課税後の問合せ対応で多忙中</t>
  </si>
  <si>
    <t>【住基・福祉Gr】 住基CSアップデート・・・豊後高田市（5/11）にて全10団体完了</t>
  </si>
  <si>
    <t>【内部・個別Gr】 人事給与・・・定額減税に関する問合せ多数　順次対応中</t>
  </si>
  <si>
    <t>【保険Gr】　　    国保・・・被保険者証一体化対応、介護＆後期・・・自治体標準化事前データ移行検証</t>
  </si>
  <si>
    <t>【他】 　　 国保運用保守定例会･･･杵築市(5/9)、Acrocity連絡会議(5/9)、中津市計画停電（5/11）</t>
  </si>
  <si>
    <t>【標準化Gr】&lt;AcrocityVup&gt;【宇佐】ﾕｰｻﾞﾃｽﾄ完了…5/18より切替⇒5/20稼働　【杵築】ﾕｰｻﾞﾃｽﾄ実施中</t>
  </si>
  <si>
    <t xml:space="preserve">               &lt;大分県/標準化支援事業&gt;2024年度継続受注に向け提案準備中…5/15プレゼン</t>
  </si>
  <si>
    <t>【ｱｳﾄｿｰｼﾝｸﾞ】12団体ｱｳﾄｿｰｼﾝｸﾞ業務順調　民税特徴佐伯リカバリ（POSTEX ⇒ 封緘）</t>
  </si>
  <si>
    <t>【大分CSC】 日田・杵築：年次/当初課税民税特徴、例月/日田水道処理…順調</t>
  </si>
  <si>
    <t xml:space="preserve">【他】Acrocityﾊﾟｰﾄﾅｰ会(5/17)…自治体ｼｽﾃﾑ標準化の取組状況の説明             </t>
  </si>
  <si>
    <t>　・ミエデン情報交換会　5/1参加</t>
  </si>
  <si>
    <t>　・J/L研修　5/7～5/8受講、　PM改革　5/10参加予定</t>
  </si>
  <si>
    <t>　・全社営業会議　5/13、　新入社員向け講話　5/17、　社長診断　5/22　対応</t>
  </si>
  <si>
    <t>【第1Gr】QTnet　大分銀行向け業務端末更改　内定</t>
  </si>
  <si>
    <t>【第1Gr】ダイプロ　財務システム更新見積提示</t>
  </si>
  <si>
    <t>【第2Gr】三愛会　EPSONスマートチャージプリンタ納品　5/2　初回納品完了　5/10～5/22第2弾納品</t>
  </si>
  <si>
    <t>【第2Gr】帰巖会　パソコンリプレース作業　キックオフ開催</t>
  </si>
  <si>
    <t>【第2Gr】医療機関向けセキュリティセミナー準備（DARKTRACE、PSI打合せ）</t>
  </si>
  <si>
    <t>・pickture：ルートインジャパン（デモ）、富士急行（グループ企業向け説明会）</t>
  </si>
  <si>
    <t>・JR九州エンジニアリング：床下撮影検査システム　見積準備</t>
  </si>
  <si>
    <t>・NTTコム：トライアルforメディカル打合せ、おおいた医療ネットワーク：完成図書作成</t>
  </si>
  <si>
    <t>・大分支援：三愛会（スマートチャージ案件）、社会医療法人帰巖会（PCリプレース案件）</t>
  </si>
  <si>
    <t>・ユーザー訪問：福岡国際空港、JAビバレッジさが、キャナルシティ博多、総合メディカル</t>
  </si>
  <si>
    <t>・大分県畜産デジタル推進協議会：畜産共通システム構築⇒開発中</t>
  </si>
  <si>
    <t>・日立製作所：JR四国車両管理システム構築⇒関係各社とのキックオフ開(5/8福岡)、基本設計レビュー</t>
  </si>
  <si>
    <t>・豊後大野市：タイムノート（勤怠管理）導入⇒設計・開発中</t>
  </si>
  <si>
    <t>・佐伯建設：2次ステップ（営業管理システム導入）⇒データ移行検討</t>
  </si>
  <si>
    <t>・・津久見市：タイムノート（勤怠管理）導入⇒デモ日程調整中</t>
  </si>
  <si>
    <t>・大銀運用：ｾﾝﾀｰ長時間停止に伴う各種SV電源断／投入(5/6～7) → ﾄﾗﾌﾞﾙなく終了</t>
  </si>
  <si>
    <t>・'ＪＸ金属：型銅生産管理ｼｽﾃﾑ…SV更新他(森﨑)、硫酸出荷管理ｼｽﾃﾑ…食添記載削除他(衞藤)</t>
  </si>
  <si>
    <t>・APU情ｼｽ：[教研]ID連携SV・・5/7本番切替、5/8夜間連携実施　[支援]PC貸出ﾛｯｶｰ運用改善提示</t>
  </si>
  <si>
    <t>・APU入試：[国際]Slateの新年度設定作業　[国内]秋期入試合否関連作業、統計資料作成など</t>
  </si>
  <si>
    <t>・営業関係：JX金属契約関連の見直し（JX金属精錬→JX金属への契約先変更）</t>
  </si>
  <si>
    <t>観光関連サイト構築　4/30, 5/1　関係各社との打合せ、　提案に向けて準備中</t>
  </si>
  <si>
    <t>女子中高生の理系進路選択支援プログラム　5/7　顧客との打合せ（1回目 6/18 実施予定）</t>
  </si>
  <si>
    <t>デジタル海外展開プラットフォーム　5/10　2024年度第1回ワークショップ　参加</t>
  </si>
  <si>
    <t>ICT海外展開パッケージ支援事業（ネパール農業IoT）　提案に向けて準備中</t>
  </si>
  <si>
    <t>別府大学：DE基礎第3回 5/10公開　DE基礎第6回（DX大学として5/20公開録画）</t>
  </si>
  <si>
    <t>OneKyshuDX（コミュニティ）と 福岡・大分・佐賀の共同企画「DXプレゼン会」検討</t>
  </si>
  <si>
    <t>OKPT：5/13 打合せ，　盛土情報管理システム：設計実施中</t>
  </si>
  <si>
    <t>在来線車両床下撮影検査システムの再構築、車両屋根上検査システム構築に関する見積補足回付</t>
  </si>
  <si>
    <t>大分県自治人材育成センター市町村新任課長向けDX研修 5/14(火)、17(金)　講師：坂本、下川</t>
  </si>
  <si>
    <t>【東日本】・鉄道建設機構：今年度及び来年度のPC調達案件の仕様書案作成に向けた協議</t>
  </si>
  <si>
    <t>・中央区：施設予約システム用端末50台　リース入札（JECC協業）にて受注！</t>
  </si>
  <si>
    <t>【西日本】・滋賀県大津市：廃棄物収集情報管理システム端末調達　入札 5/7　受注！</t>
  </si>
  <si>
    <t>・静岡市：粗大ごみ受付システム改修業務打合せ　5/10訪問　・営業訪問　和歌山県　5/9、京都市　5/13</t>
  </si>
  <si>
    <t>【九州】・山口県：人事システム再開発に係る要件定義業務　提案内容ヒアリング会　5/10</t>
  </si>
  <si>
    <t>・福岡県：人事システム開発業務　5/13開札　・宗像市：認証基盤調達仕様書支援 5/10訪問(A10同行)</t>
  </si>
  <si>
    <t>【東京】さいたま市基盤構築（新住記本番切替実施、問合せ対応、ドキュメント整理等）</t>
  </si>
  <si>
    <t>・施設予約（目黒：マスタ現地検証、世田谷：施設移転対応、杉並：NW設計）</t>
  </si>
  <si>
    <t>・港区CS（CS統合端末アップデート対応）、NICT（SWキッティグ）、荒川区（入札案件打合せ）</t>
  </si>
  <si>
    <t>【大分】(運用業務)　県内・県外：問題無し、　社内（Citrixリモート環境停止、Akamai環境メンテナンス）</t>
  </si>
  <si>
    <t>・防府市 次期端末基盤更改（リモートメンテナンス環境説明）、eTranspoter説明資料作成</t>
  </si>
  <si>
    <t>【福井県財務PJ】　メイン工程：設計、開発　5/9,10 個別協議（歳出関係） 5/15 FPT開発調整</t>
  </si>
  <si>
    <t>【第１グループ】　5/17 京都府財務定例会議　5/13 徳島県FM（公会計連携打ち合わせ）</t>
  </si>
  <si>
    <t>【第２グループ】　5/13 五泉市定額減税リリース　京都府教育人事：組織表関係問い合わせ対応</t>
  </si>
  <si>
    <t>【香川グループ】　5/10 運用保守定例会議　【北陸グループ】　5/10 運用保守定例会議</t>
  </si>
  <si>
    <t>【その他】　5/8 NTTデータ東海訪問（三重県教職員人事運用保守作業等の調整）</t>
  </si>
  <si>
    <t>【第１Gr】佐賀財務　運用保守特に問題なし、大分財務支援(本矢、瓜生田 5月末まで延長)</t>
  </si>
  <si>
    <t>【第２Gr】・5/13　福岡県人事システム開札予定　・鹿児島報酬　定額減税、有償案件　リリース準備</t>
  </si>
  <si>
    <t>【第３Gr】(施設予約)福岡市 追加ｶｽﾀﾏｲｽﾞ対応、熊本市 ﾏｽﾀ登録　(公社)要望対応見積作成</t>
  </si>
  <si>
    <t>【その他】・ﾕｰｻﾞｰ対応　ｱｿｳｱﾙﾌｧ、ﾃｸﾉﾌﾟﾛIT、ｱｼｽﾄ、ﾏｲﾅﾋﾞ等　・5/16 佐賀財務定例会議予定</t>
  </si>
  <si>
    <t>・5/9 日立JR四国ﾌﾟﾛｼﾞｪｸﾄ技術共有会(大分本社ﾒﾝﾊﾞｰ来社)　・5/1～ 椎原さん、林さん出社</t>
  </si>
  <si>
    <t>【導入Gr】大分県財務会計　矢野次長、今宮Gr長、緒方さん県庁常駐ローテ―ション＋瓜生田さん常駐。</t>
  </si>
  <si>
    <t>　　　　　　トラブル報告発生。前金払の前金口座に入らないといけないが、画面上は代表口座に入っている</t>
  </si>
  <si>
    <t>　　　　　　ように見えていた。結果的には正しい前金口座に振り込まれていた。</t>
  </si>
  <si>
    <t>【運用Gr】パッケージ保守：４月定期出荷、５月出荷分対応中　　運用支援：各種問い合わせ対応</t>
  </si>
  <si>
    <t>【営業案件】特になし　　　　　　　　　　　　　　　　　　　　【その他】特になし</t>
  </si>
  <si>
    <t>　・運用支援PROJ：【市川市】市川市サーバOS更改(市川市分)着手。 【東松山】定額減税他対応中。</t>
  </si>
  <si>
    <t>　・ISEユーコープ：【保守】24年度マスタリリース対応。　【調達・在庫数】結合試験、ST1準備。</t>
  </si>
  <si>
    <t>　　　　　　　　　　　　【商品/フェイス】ST2走行継続。遅延。　【宅配・納品】ST2準備。</t>
  </si>
  <si>
    <t>【大分県財務】県有財産、公会計新規開発対応中　県有財産はまもなく開発完了予定</t>
  </si>
  <si>
    <t>　その他　緊急不具合の対応、結合戻り対応</t>
  </si>
  <si>
    <t>　開発増員に向けてFPT、COM-ONEと協議継続中。5月15日よりFPTニアショアにて一部開発着手予定。</t>
  </si>
  <si>
    <t>【ServiceNow】住民ポータルのアップグレード作業対応中　</t>
  </si>
  <si>
    <t>5/14 大分県財務会計システム定例会議出席（桑原）</t>
  </si>
  <si>
    <t>　　　　事業部内調整会議（in大分）→今年度の都道府県案件等の方針協議</t>
  </si>
  <si>
    <t>【営業】大和不動産鑑定：基幹DABSYSリプレース案件ヒアリング</t>
  </si>
  <si>
    <t>【営業】GMO：三井住友カード案件ヒアリング</t>
  </si>
  <si>
    <t>【導入Gr】熊本市・大分市導入中、福岡市2024年度カスタマイズ実施中</t>
  </si>
  <si>
    <t>【運用Gr】(v2)保守プロジェクトPMO準備中　(v3)保守プロジェクトPMO準備中、福岡市問合せ対応</t>
  </si>
  <si>
    <t>【開発Gr】(v3)大分市データ変換用クエリ作成、(v3)保守(開発・検証)、(v3)投資開発</t>
  </si>
  <si>
    <t>【PKG管理Gr】v3投資(PMO準備、開始準備、要件定義、基本設計、詳細設計、開発)、v3保守</t>
  </si>
  <si>
    <t>【その他】5/13プロジェクト計画PMO(v2保守、パスコ保守、v3保守、v3投資)実施予定</t>
  </si>
  <si>
    <t>【東日本施設予約導入Gr】　&lt;営業案件＞北区・中野区：対応検討中</t>
  </si>
  <si>
    <t>目黒区、墨田区 計画PMO(5/10)</t>
  </si>
  <si>
    <t>横浜市：稼動後案件等対応中　杉並区：詳細設計着手、マスタ設定苦戦中　墨田区：要件定義着手</t>
  </si>
  <si>
    <t>運用引継ぎのための勉強会を適宜開催中</t>
  </si>
  <si>
    <t>目黒区定例会(5/7)、江戸川区定例会(5/8)</t>
  </si>
  <si>
    <t>【ｿﾘｭｰｼｮﾝｻｰﾋﾞｽGr】営業活動多：調達対応、鹿児島市、千葉県船橋市、東京都日野市等</t>
  </si>
  <si>
    <t>堺市ｷｬｯｼｭﾚｽ決済稼働日調整中（堺市と決済業者の契約済）</t>
  </si>
  <si>
    <t>・安全衛生　　5/24 東京本社安全衛生委員会開催　再検査該当者への受診勧奨対応中</t>
  </si>
  <si>
    <t>　　　　　　　　　長時間労働者へのヒアリング運用改善検討中</t>
  </si>
  <si>
    <t>・社内ＤＸ　　POWEREGGとWEBDBの新規運用検討</t>
  </si>
  <si>
    <t>・法務　　　　　外注品質改善検討</t>
  </si>
  <si>
    <t>・その他　　　　横浜サービスセンタ―改善　社宅契約手続き（転居、新規契約）対応</t>
  </si>
  <si>
    <t>・山口県人事システム要件定義業務調達　現地ヒアリング参加</t>
  </si>
  <si>
    <t>・5/7～5/8　役員研修会参加</t>
  </si>
  <si>
    <t>・佐伯建設　松本取締役と面談</t>
  </si>
  <si>
    <t>5/7 日立製作所九州支社　山本副支社長来社　現在、加藤が日立ITユーザ会九州支部幹事</t>
  </si>
  <si>
    <t>5/8 JISA代表として総務省から自治体ＤＸ人財育成における地域ベンダーの役割についてヒアリング</t>
  </si>
  <si>
    <t>　　　 自治体ＤＸ人財育成については地域ベンダーとの連携がなければ厳しいことを双方認識</t>
  </si>
  <si>
    <t>5/9 九州富士通パートナー会、富士通ソリューションディーラー販売会議出席　福岡</t>
  </si>
  <si>
    <t>　　　　新会社　エフサステクノロジーズ　社長　保田氏他と懇談</t>
  </si>
  <si>
    <t>１．S/F受付　6月から自動受付システム 『ラクネコ』 運用開始</t>
  </si>
  <si>
    <t>　　　通達を参照のうえ、今後の来社を伴うアポイントはQRコードを送付のこと　5/23 11:00～操作説明会</t>
  </si>
  <si>
    <t>２．イベント　　(1) 5/18 OECの森林　植樹イベント＠十文字原、　(2) 5/23 安全衛生委員会</t>
  </si>
  <si>
    <t>３．N/F 3F女子トイレで喫煙の苦情多発、S/F 男子トイレも同様　他の社員への健康被害を与える行為</t>
  </si>
  <si>
    <r>
      <t>(2025卒 採用活動) 総エントリー数　</t>
    </r>
    <r>
      <rPr>
        <sz val="11"/>
        <color rgb="FFFF0000"/>
        <rFont val="Meiryo UI"/>
        <family val="3"/>
        <charset val="128"/>
      </rPr>
      <t>747</t>
    </r>
    <r>
      <rPr>
        <sz val="11"/>
        <color rgb="FF000000"/>
        <rFont val="Meiryo UI"/>
        <family val="3"/>
        <charset val="128"/>
      </rPr>
      <t>人（</t>
    </r>
    <r>
      <rPr>
        <sz val="11"/>
        <color rgb="FFFF0000"/>
        <rFont val="Meiryo UI"/>
        <family val="3"/>
        <charset val="128"/>
      </rPr>
      <t>5/17</t>
    </r>
    <r>
      <rPr>
        <sz val="11"/>
        <color rgb="FF000000"/>
        <rFont val="Meiryo UI"/>
        <family val="3"/>
        <charset val="128"/>
      </rPr>
      <t>時点）　※</t>
    </r>
    <r>
      <rPr>
        <sz val="11"/>
        <rFont val="Meiryo UI"/>
        <family val="3"/>
        <charset val="128"/>
      </rPr>
      <t>3次幹部面接終了</t>
    </r>
  </si>
  <si>
    <r>
      <t xml:space="preserve">　大卒1～3次選考　応募72名　⇒　最終面接32名　⇒　内定24名　⇒　承諾 </t>
    </r>
    <r>
      <rPr>
        <sz val="11"/>
        <rFont val="Meiryo UI"/>
        <family val="3"/>
        <charset val="128"/>
      </rPr>
      <t>8</t>
    </r>
    <r>
      <rPr>
        <sz val="11"/>
        <color rgb="FF000000"/>
        <rFont val="Meiryo UI"/>
        <family val="3"/>
        <charset val="128"/>
      </rPr>
      <t xml:space="preserve">名  </t>
    </r>
    <r>
      <rPr>
        <sz val="10"/>
        <color rgb="FF000000"/>
        <rFont val="Meiryo UI"/>
        <family val="3"/>
        <charset val="128"/>
      </rPr>
      <t>※専門卒内定2名</t>
    </r>
  </si>
  <si>
    <t>　　＊追加募集決定　学生への周知を開始</t>
  </si>
  <si>
    <t>(社内研修) ◆「ＰＭインタビュー」プロジェクトスタート、　◆職場指導員研修　参加者募集中</t>
  </si>
  <si>
    <t xml:space="preserve"> ※5月末退職 2名、6月入社 2名</t>
  </si>
  <si>
    <t>・(株)バヅグリ打合せ (エンゲージメント系研修)</t>
  </si>
  <si>
    <t>・社労士打合せ</t>
  </si>
  <si>
    <t>・経営者協会労働問題研究会 5/21</t>
  </si>
  <si>
    <t>・三井住友信託銀行打合せ(人事施策) 5/22</t>
  </si>
  <si>
    <t>・新入社員講話 5/22</t>
  </si>
  <si>
    <t>【CI】　CI（コーポレート・アイデンティティー）公開情報の振り返り会　ぜひ参加ください！</t>
  </si>
  <si>
    <t>CI（コーポレート・アイデンティティー）公開情報の振り返り</t>
  </si>
  <si>
    <t>提案書テンプレートの公募について</t>
  </si>
  <si>
    <t>ISO27001:2022改訂・移行説明会 5/17実施。特にISMS認証範囲内は早めに対応をお願い致します。</t>
  </si>
  <si>
    <t>JUST.DB 営業向け機能対応（売上管理表バージョンアップ。訪問履歴、案件管理実装に向けて打合せ）</t>
  </si>
  <si>
    <t>売上集計表回付、PJ管理表チェック、外注請求チェック等の月締作業。業者登録、会社調査票の対応。</t>
  </si>
  <si>
    <t>社長診断予定　5/21 9:00～ ITサービス事業部、5/24 10:00～ ビジネスプロデュース事業部</t>
  </si>
  <si>
    <t>FW更新にむけて現場ヒアリング実施⇒設計見直し</t>
  </si>
  <si>
    <r>
      <rPr>
        <sz val="11"/>
        <color rgb="FF000000"/>
        <rFont val="Meiryo UI"/>
        <family val="3"/>
        <charset val="128"/>
      </rPr>
      <t>4．財務部にて手配の回数券は福岡高速バス回数券のみとなります。</t>
    </r>
    <r>
      <rPr>
        <sz val="9"/>
        <color rgb="FF000000"/>
        <rFont val="Meiryo UI"/>
        <family val="3"/>
        <charset val="128"/>
      </rPr>
      <t>決裁後４Ｆ財務部まで受け取りにきてください。</t>
    </r>
  </si>
  <si>
    <t>大分空港バス回数券（大分空港⇔別府・大分市内）の社内取り扱い終了について</t>
  </si>
  <si>
    <t>　　※東京本社保管の空港バス回数券も在庫がなくなりました。各自で手配の上、精算してください。</t>
  </si>
  <si>
    <t>https://oec.cybozu.com/g/bulletin/view.csp?aid=932</t>
  </si>
  <si>
    <t>１．【決算役員会】　5/17（金）開催済み･･･2023年度決算承認、配当額承認、株主総会議案承認</t>
  </si>
  <si>
    <t>２．【定時株主総会】　6/10（月）16:00～トキハ会館、開催に向け準備</t>
  </si>
  <si>
    <t>３．【大分銀行】　5/29（水）4月新設された「DX推進部」来社･･･活動方針、当社との共創等の説明</t>
  </si>
  <si>
    <t>４．【その他】　5/22（水）新入社員向け講話</t>
  </si>
  <si>
    <t>【津久見市】行政DX支援　客先打合せ（5/16）　　【国東市】職員利用PC　入札設計106台</t>
  </si>
  <si>
    <t>【竹田市】職員利用PC　入札設計120台　　【豊後高田市】基幹系ADサーバリプレイス（5/17～18）</t>
  </si>
  <si>
    <t>【日出町】健康管理システム『健康カルテ』　デモ（5/22）</t>
  </si>
  <si>
    <t>【大分県教育庁】校務用パソコン更新　仕様打合せ（5/15）　　【臼杵市教委】電子黒板119台　落札</t>
  </si>
  <si>
    <t>【竹田市教委】ICT支援員プロポーザル　内定　　【楊志館高校】生徒用iPad305台　納品（5/13）</t>
  </si>
  <si>
    <t>【第2ﾌﾟﾛ】日田市：シンクラ端末入札 5/15 受注、定例会（国保、シンクラ）、Acrocityパートナー会 5/17</t>
  </si>
  <si>
    <t>【第3ﾌﾟﾛ】大分県：次期OKパソコン等一式 失注、 市町村情報システム標準化・共通化支援業務 受注、</t>
  </si>
  <si>
    <t>電子自治体推進課打合せ（今年度・来年度案件、マイクロソフト県域ライセンス）、高齢者福祉課打合せ</t>
  </si>
  <si>
    <t>【公共SS】定例会開催：大分市 5/15、別府市 5/17、大分県（ヘルプデスク）5/14</t>
  </si>
  <si>
    <t>【エントリー】東京都LoGoﾌｫｰﾑｺｰﾙｾﾝﾀｰ業務:ﾄﾗｽﾄﾊﾞﾝｸ研修1回目　5/14、ﾚｾﾌﾟﾄ業務：5/9-5/22</t>
  </si>
  <si>
    <t>別府市：市報スキャニング仕様書案打合せ、給付金案件（2件）見積対応、SE運用定例会</t>
  </si>
  <si>
    <t>BPR案件打合せ（臼杵市、佐伯市）　ツーリズムおおいた：東京出張(観光DX・マーケティングEXPO)</t>
  </si>
  <si>
    <t>別府市：非課税給付金及び定額減税給付金の見積り対応、津久見市：行政DX事前打合せ（5/16）</t>
  </si>
  <si>
    <t>昨年度大分県内のデジ田取組み状況を補足資料格納フォルダに入れています。</t>
  </si>
  <si>
    <t>■デジ田資料格納場所</t>
  </si>
  <si>
    <t>一般社員を対象に質問等、なんでも受け付けますので右記よりお願いします。</t>
  </si>
  <si>
    <t>\\10.100.1.232\oec1\LEVEL_C_UP\CU250_業務週報V2.0\2024年度\12_公共ビジネス事業部\240517</t>
  </si>
  <si>
    <t>（対応も一般社員のみで行いますので気軽に問合せください）</t>
  </si>
  <si>
    <t>■公共ビジネス事業部　目安箱（対象：一般社員）</t>
  </si>
  <si>
    <t>https://forms.office.com/r/aTQVC501Qj</t>
  </si>
  <si>
    <t>【税・収納Gr】    個人住民税業務・・・普徴課税に向け準備中、固定資産税・・・概要調書実施中、問題無。</t>
  </si>
  <si>
    <t>【住基・福祉Gr】 PTF適用・・・住民票（5/10～5/12）、住基GW （5/12） すべて無事完了</t>
  </si>
  <si>
    <t>【内部・個別Gr】 由布市/水道料金・・・BSNアイネット現地訪問に同行（5/14）</t>
  </si>
  <si>
    <t>【他】 　　 運用保守定例会(臼杵市)/国保運用保守定例会(宇佐市、中津市、日田市、九重町)</t>
  </si>
  <si>
    <t>【標準化Gr】&lt;AcrocityVup&gt;【宇佐】5/18～本番切替⇒5/20本番稼働　【杵築】ﾕｰｻﾞﾃｽﾄ実施中</t>
  </si>
  <si>
    <t xml:space="preserve">               &lt;大分県/標準化支援事業&gt;2024年度事業の提案…プレゼン(5/15)⇒ 結果(5/17)予定</t>
  </si>
  <si>
    <t>【ｱｳﾄｿｰｼﾝｸﾞ】12団体ｱｳﾄｿｰｼﾝｸﾞ業務順調…民税普徴当初課税、介護本算定、国保本算定準備</t>
  </si>
  <si>
    <t>【大分CSC】 年次/当初課税民税普徴 封入封緘 顧客打合せ：杵築(5/13)・日田(5/17)</t>
  </si>
  <si>
    <t>　・GcomHD　パートナー会（標準化・ガバメントクラウド対応説明）　web参加　5/17</t>
  </si>
  <si>
    <t>　・事業部内ワーキング2024年度第１回　5/23開催予定</t>
  </si>
  <si>
    <t>　・PM改革（アクションプランを大河内氏と協議）　5/20予定、　事業部戦略会議　5/24開催予定</t>
  </si>
  <si>
    <t>【第1Gr】大分商工会議所　本所移転、グループウェア導入　打合せ</t>
  </si>
  <si>
    <t>【第1Gr】JA大分総合情報センター　タレントパレット更新見積、Trintriストレージ導入作業</t>
  </si>
  <si>
    <t>【第1Gr】三信産業　工事管理システム、受注管理システム　打合せ</t>
  </si>
  <si>
    <t>【第2Gr】長門記念病院　PC350台　見積打合せ（Lenovoと調整中）</t>
  </si>
  <si>
    <t>【第2Gr】別府リハビリテーションセンター　AD,WSUSサーバ導入　見積準備・打合せ</t>
  </si>
  <si>
    <t>・pickture：カナデン（ソフトウェア開発基本契約締結）、富士急行（WEB説明会２回目）</t>
  </si>
  <si>
    <t>・JR九州エンジニアリング：床下撮影検査システム見積提示</t>
  </si>
  <si>
    <t>・小野内科病院：病棟向け電子カルテ導入に向けた見積準備</t>
  </si>
  <si>
    <t>・ユーザー訪問：総合メディカル、JR九州商事、九州電力、トヨタ自動車九州</t>
  </si>
  <si>
    <t>・その他：愛徳会出展準備(tascare)、ミエデン打合せ(carbonote)、地域ｘTech九州参加</t>
  </si>
  <si>
    <t>・大分県畜産デジタル推進協議会：畜産共通システム構築⇒開発、データ移行設計中</t>
  </si>
  <si>
    <t>・日立製作所：JR四国車両区所サブシステム機能改修⇒日立による基本設計レビュー（1回目）</t>
  </si>
  <si>
    <t>・豊後大野市：タイムノート（勤怠管理）導入⇒社内キックオフ実施、設計・開発中</t>
  </si>
  <si>
    <t>・天然素材：サーバーリプレース⇒新仮想ホスト移行に関する打合せ</t>
  </si>
  <si>
    <t>・大銀開発：野村證券TBL定義改修（総合T・リリース判定レビュー）、大銀HP更新ほか（安達）</t>
  </si>
  <si>
    <t>・住友化学：低分子PI導入(情報共有)、PI業務教育(他社員への説明)、FK34工場対応ほか(吉田)</t>
  </si>
  <si>
    <t>・APU情ｼｽ：Rising導入関連…立命情ｼｽ 大菅次長、岡課長、師井補佐来学(5/15～17)</t>
  </si>
  <si>
    <t>・APU入試：職員組織再編に伴う、執務室移転(5/31～6/3)…移転日程＆内容調整が大詰め</t>
  </si>
  <si>
    <t>・営業関係：APUｵﾝﾗｲﾝ入試見積対応、JX金属契約変更対応　・ｴﾚﾜｲｽﾞ関係：竹田図書館見積</t>
  </si>
  <si>
    <t>宇宙VR　5/14　関係各社と販売等に関する打合せ</t>
  </si>
  <si>
    <t>FFTAサイバーセキュリティ研究会（地域SECUNITY）　5/16　定例会</t>
  </si>
  <si>
    <t>ドローン産業・空飛ぶクルマ研究開発事業費補助金　5/17　申請書提出</t>
  </si>
  <si>
    <t>宇宙：大分県補助金事業＆総務省無料データ利用事業 5/17申請書提出、OSFCセミナー参加</t>
  </si>
  <si>
    <t>NTTデータ九州：福岡市こどもデータ連携 5/15 2024年度の活動方針検討3者ミーティング</t>
  </si>
  <si>
    <t>盛土情報管理システム：要件定義・設計対応中　受注・配達管理システム：5/17３次開発に向け打合せ</t>
  </si>
  <si>
    <t>書き込み手帳アプリ：5/21顧客との打合せ　保安管理台帳システム：5/16要件確認、見積作成依頼</t>
  </si>
  <si>
    <t>5/20 令和6年度県北3法人会（中津・宇佐高田・日田玖珠）青年部合同研修会　テーマ：生成AI</t>
  </si>
  <si>
    <t>【東日本】・千葉県内：放置自転車対策システムのローラー活動　船橋市とコンタクトが取れ、後日提案訪問</t>
  </si>
  <si>
    <t>・荒川区：施設予約システム再構築：現状調査のため、訪問 他案件とも時期が重複しないため、今後注力</t>
  </si>
  <si>
    <t>【西日本】・京都府：基盤案件ヒアリング訪問　5/22訪問　・岡山県：基盤案件訪問　日程調整中</t>
  </si>
  <si>
    <t>・滋賀県大津市：ガバクラ接続提案訪問 5/22　・NOS関西支社訪問　5/23（塩月事業部長同行）</t>
  </si>
  <si>
    <t>【九州】・福岡県：新人事システムの開発及び運用保守に係る業務委託　受注！　5/14</t>
  </si>
  <si>
    <t>・山口県：人事管理システム再開発に係る要件定義等業務　受注！　5/15</t>
  </si>
  <si>
    <t>【東京】さいたま市基盤構築（新住記FJJリモート接続環境作業調整、ドキュメント修正等）</t>
  </si>
  <si>
    <t>・施設予約（目黒：クローニング開始、NAS設定、杉並：NW設計、定例会準備）</t>
  </si>
  <si>
    <t>・目黒区CS（情報提供PC設定）、中央区子育て（SVキッティング）、UCR（端末設定納品）</t>
  </si>
  <si>
    <t>【大分】(運用業務)　県内・県外：問題無し、　大津市 IaaS基盤(AOS,ESXi VerUP　5/18予定)</t>
  </si>
  <si>
    <t>・山口県 共通基盤構築（要件確認）、日田市(行政) 内部系シンクラ（プロファイル構成変更:5/15）</t>
  </si>
  <si>
    <t>【福井県財務PJ】　メイン工程：設計、開発　5/22,24 個別協議（歳出関係） 5/23 請求書連携協議</t>
  </si>
  <si>
    <t>【第１グループ】　5/17 京都府財務運用保守定例会議　5/23 和歌山県調達運用保守定例会議</t>
  </si>
  <si>
    <t>【第２グループ】　東海市・南あわじ市：定額減税・会計年度期末勤勉(顧客検証)リリース</t>
  </si>
  <si>
    <t>【香川グループ】　付加委託料案件追加で受注　【北陸グループ】　問合せ対応が多く多忙（京都から支援）</t>
  </si>
  <si>
    <t>【第１Gr】佐賀財務　運用保守特に問題なし、大分財務支援継続(本矢、瓜生田)、その他要員調整</t>
  </si>
  <si>
    <t>【第２Gr】・5/21　山口県人事システム要件定義　受注挨拶・5/22　鹿児島県法改正リリース</t>
  </si>
  <si>
    <t>【第３Gr】(施設予約)福岡市 追加ｶｽﾀﾏｲｽﾞ対応、熊本市 ﾏｽﾀ登録　(公社)要望対応見積稟議回付</t>
  </si>
  <si>
    <t>【その他】・5/14　福岡県人事システム構築　受注・5/15　山口県人事システム要件定義　受注</t>
  </si>
  <si>
    <t>5/14 事業部内会議(大分財務、福岡長崎財務等)、5/22 住宅公社定例会議、5/23 ﾏﾈｼﾞﾒﾝﾄ部会議</t>
  </si>
  <si>
    <t>【運用Gr】5月出荷分課題管理対応中、各種問い合わせ対応等</t>
  </si>
  <si>
    <t>【導入Gr】月次決算、税連携・旅費連携・給与連携等の対応。常駐メンバーローテーションを実施中。</t>
  </si>
  <si>
    <t xml:space="preserve">           5/14(火)大分県月次定例会を実施。桑原事業部長参加。</t>
  </si>
  <si>
    <t>【営業関連】宇佐市eGモデルカスタマイズ見積</t>
  </si>
  <si>
    <t>【営業案件】特になし　　　　　　　　　　　　　　　　　　　　【その他】（浅野）大分出張5/10-15。次週も。</t>
  </si>
  <si>
    <t>　・群馬県財務本稼働支援：5/13-17RS現地支援（竹内）。日次月次支援（後藤）。</t>
  </si>
  <si>
    <t>　・運用支援PROJ：【市川市】文書サーバOS更改(市川市直契約)着手。 【東松山】定額減税他対応中。</t>
  </si>
  <si>
    <t>【大分県財務】公会計新規開発対応中　その他　緊急不具合の対応、県有財産結合戻り対応</t>
  </si>
  <si>
    <t>　5/15　FPT開発キックオフ実施　FPTニアショアにて開発着手。</t>
  </si>
  <si>
    <t>　5/20　福岡支社常駐のTPIのうち４名について財務会計の開発・単体テスト着手予定。</t>
  </si>
  <si>
    <t>【ServiceNow】住民ポータルおよびnSPのアップグレード作業対応中　</t>
  </si>
  <si>
    <t>5/14 大分県財務対策会議、福岡・長崎財務方針協議（事業部内の部長以上全員参加）</t>
  </si>
  <si>
    <t>5/15 福岡県受注挨拶（桑原）：人事システム構築業務</t>
  </si>
  <si>
    <t>【営業】大和不動産鑑定：DABSYSリプレース案件見積対応</t>
  </si>
  <si>
    <t>【営業】オークネット：モバイルアプリ対応案件見積提示</t>
  </si>
  <si>
    <t>【運用Gr】(v2)パスコ社問合せ対応中　(v3)福岡市問合せ対応、佐世保市・堺市マスタ追加作業準備中</t>
  </si>
  <si>
    <t>【開発Gr】(v3)大分市データ変換用クエリ作成、(v3)保守(開発・検証)、(v3)投資開発、(v2)パスコ保守</t>
  </si>
  <si>
    <t>【PKG管理Gr】v3投資(PMO、収支計画稟議、要件定義、基本設計、詳細設計、開発)、v3保守</t>
  </si>
  <si>
    <t>【その他】5/13プロジェクト計画PMO(v2保守、パスコ保守、v3保守、v3投資)実施</t>
  </si>
  <si>
    <t>文京区：訪問(5/17)</t>
  </si>
  <si>
    <t>世田谷区：定例会(5/14)  中央区：定例会(5/16) 目黒区：ｶｽﾀﾏｲｽﾞ要件定義(5/17)</t>
  </si>
  <si>
    <t>横浜市：SC運用改善実施中。付帯業務中心に検討を開始。</t>
  </si>
  <si>
    <t>【ｿﾘｭｰｼｮﾝｻｰﾋﾞｽGr】調達対応：千葉県船橋市、鹿児島市、運用保守：神戸市(㈱ｴｽﾌﾟｰﾙｸﾞﾛｰｶﾙ)課題協議等</t>
  </si>
  <si>
    <t>堺市ｷｬｯｼｭﾚｽ決済稼働日調整中（堺市と決済業者の契約中）</t>
  </si>
  <si>
    <t>　　　　　　　　　長時間労働者へのヒアリング運用改善対応中</t>
  </si>
  <si>
    <t>・採用　　　　　6/4　お茶の水女子大学採用イベント参加予定</t>
  </si>
  <si>
    <t>・その他　　　　社宅契約手続き（転居、新規契約）対応</t>
  </si>
  <si>
    <t>・福岡長崎財務会計システム構築に向けた社内経験者協議</t>
  </si>
  <si>
    <t>・福岡県総務事務厚生課　企画監訪問、協議</t>
  </si>
  <si>
    <t>・5/13～5/14　福岡出張　ＵＯＳ九州支部協業委員会に出席</t>
  </si>
  <si>
    <t>・セールスフォースとのオンライン会議</t>
  </si>
  <si>
    <t>・デンサン　水浦顧問来客対応</t>
  </si>
  <si>
    <t>・5/17　決算役員会</t>
  </si>
  <si>
    <t>5/13-15 EPSON会表彰式(札幌プリンスホテル)　当社はゴールド賞受賞　栗林EPSON販売新社長に挨拶</t>
  </si>
  <si>
    <t>5/16 令和６年度 大分県産学官金連携推進会議 第１回役員会出席　文理大学</t>
  </si>
  <si>
    <t>5/16 デンサン(宮崎本社)水浦顧問退任挨拶来社</t>
  </si>
  <si>
    <t>5/17 大分県庁利光商工観光労働部長訪問　大分県進出企業とOISA連携について協議</t>
  </si>
  <si>
    <t>5/17 決算役員会開催</t>
  </si>
  <si>
    <t>１．S/F受付　6/3から自動受付システム 『ラクネコ』 運用開始　（現在、利用に向けた事前登録作業中）</t>
  </si>
  <si>
    <t>　　　通達を参照のうえ、今後の来社を伴うアポイントはQRコードを送付のこと、活用の徹底をお願いします</t>
  </si>
  <si>
    <t>２．イベント　(1) 5/25 新社屋写真撮影　利用制限アリ、　(2) 5/28 自動受付システム事前説明会</t>
  </si>
  <si>
    <t>　　　(3) 5/29 13:30 ～ 大分本社避難訓練、 5/24 事前説明会</t>
  </si>
  <si>
    <r>
      <rPr>
        <sz val="11"/>
        <color rgb="FF000000"/>
        <rFont val="Meiryo UI"/>
        <family val="3"/>
        <charset val="128"/>
      </rPr>
      <t xml:space="preserve">(採用活動) 2025大卒選考　応募72名　⇒　内定24名　⇒　承諾 </t>
    </r>
    <r>
      <rPr>
        <sz val="11"/>
        <color rgb="FFFF0000"/>
        <rFont val="Meiryo UI"/>
        <family val="3"/>
        <charset val="128"/>
      </rPr>
      <t>9</t>
    </r>
    <r>
      <rPr>
        <sz val="11"/>
        <color rgb="FF000000"/>
        <rFont val="Meiryo UI"/>
        <family val="3"/>
        <charset val="128"/>
      </rPr>
      <t xml:space="preserve">名  辞退 </t>
    </r>
    <r>
      <rPr>
        <sz val="11"/>
        <color rgb="FFFF0000"/>
        <rFont val="Meiryo UI"/>
        <family val="3"/>
        <charset val="128"/>
      </rPr>
      <t>6</t>
    </r>
    <r>
      <rPr>
        <sz val="11"/>
        <color rgb="FF000000"/>
        <rFont val="Meiryo UI"/>
        <family val="3"/>
        <charset val="128"/>
      </rPr>
      <t>名</t>
    </r>
    <r>
      <rPr>
        <sz val="11"/>
        <color rgb="FF0070C0"/>
        <rFont val="Meiryo UI"/>
        <family val="3"/>
        <charset val="128"/>
      </rPr>
      <t xml:space="preserve"> （難航・・）</t>
    </r>
  </si>
  <si>
    <t>　◇各職場の新人配属ニーズ ＆ 新人の希望配属先を調査中　（追って高卒採用ニーズ調査予定）</t>
  </si>
  <si>
    <t>(人事評価）個人目標設定について一部見直し中のため通常より遅れての実施となります</t>
  </si>
  <si>
    <t>(入退社)　5月末退職 2名 、 6月入社 2名</t>
  </si>
  <si>
    <t>・三井住友信託銀行打合せ(人事施策) 5/23</t>
  </si>
  <si>
    <t>・新入社員講話 5/23</t>
  </si>
  <si>
    <t>・Sansan打合せ 5/27</t>
  </si>
  <si>
    <t>・スキルアップ制度検討</t>
  </si>
  <si>
    <t>【CI】　5/28（火）17:00～CI（コーポレート・アイデンティティー）公開情報の振り返り会　ぜひ参加ください！</t>
  </si>
  <si>
    <t>【CI】　5/20（月）社長メッセージ公開開始　毎月1回発信　ぜひ視聴ください！</t>
  </si>
  <si>
    <t>社長メッセージ</t>
  </si>
  <si>
    <t>【CI】　ワークショップ検討開始（人事部と連携して検討中）</t>
  </si>
  <si>
    <t>【戦略・特命】　Zホールディング本間シニアアドバイザー面会（人事部と連携）</t>
  </si>
  <si>
    <t>【戦略・特命】　大分合同新聞　常務執行役員　青木氏、デジタル戦略部長　河野氏訪問（5/22）</t>
  </si>
  <si>
    <t>生成AIの安全な利用促進のための運用見直し　クラウドサービス調査票兼管理票にAIのチェック項目追加。</t>
  </si>
  <si>
    <t>通達No.030</t>
  </si>
  <si>
    <t>PrimeDrive承認者権限をグループ長以上に変更。6/3から運用開始。</t>
  </si>
  <si>
    <t>通達No.029</t>
  </si>
  <si>
    <t>管理事務　標準原価・単価の準備、マネジメント見直し検討、特許申請対応、業者登録、派遣関係 ほか</t>
  </si>
  <si>
    <t>DX-HUBにDXWGの課題を取り込み中、まもなく全社公開、M365移行プラン作成</t>
  </si>
  <si>
    <t>社長診断予定　5/30 13:00～ 公共ビジネス事業部、5/31 14:00～ システムプロデュース事業部</t>
  </si>
  <si>
    <r>
      <rPr>
        <sz val="11"/>
        <color rgb="FF000000"/>
        <rFont val="Meiryo UI"/>
        <family val="3"/>
        <charset val="128"/>
      </rPr>
      <t>1．BillOne：新組織コード選択の注意点をご確認ください。   　　　　　　</t>
    </r>
    <r>
      <rPr>
        <sz val="11"/>
        <color rgb="FFFF0000"/>
        <rFont val="Meiryo UI"/>
        <family val="3"/>
        <charset val="128"/>
      </rPr>
      <t>週報の補足をご確認ください→</t>
    </r>
  </si>
  <si>
    <t>https://oec.cybozu.com/g/bulletin/view.csp?cid=9&amp;aid=1385</t>
  </si>
  <si>
    <t>2．POWEREGG経費精算他、各種精算書の領収書(紙)は必ず原本の提出をお願いします</t>
  </si>
  <si>
    <t>【発注伺書】ﾗｲｾﾝｽや保守などについては、以下の内容を</t>
  </si>
  <si>
    <r>
      <rPr>
        <sz val="11"/>
        <color rgb="FF000000"/>
        <rFont val="Meiryo UI"/>
        <family val="3"/>
        <charset val="128"/>
      </rPr>
      <t>3．財務部にて手配の回数券は福岡高速バス回数券のみとなります。</t>
    </r>
    <r>
      <rPr>
        <sz val="9"/>
        <color rgb="FF000000"/>
        <rFont val="Meiryo UI"/>
        <family val="3"/>
        <charset val="128"/>
      </rPr>
      <t>決裁後４Ｆ財務部まで受け取りにきてください。</t>
    </r>
  </si>
  <si>
    <t>発注伺書にｺﾒﾝﾄをお願いします。</t>
  </si>
  <si>
    <t>4．事業所税申告(大分市)、消費税申告(税理士による電子申告)、納税　･･･　5月31日まで</t>
  </si>
  <si>
    <t>(何も記載がない場合、二重発注などのﾘｽｸがあります）</t>
  </si>
  <si>
    <t>5．発注伺書の回付時のお願いは補足をご確認ください。</t>
  </si>
  <si>
    <t>新規ｏｒ更新(前回の受注No）、自動更新ｏｒ営業手配（発注不要）</t>
  </si>
  <si>
    <t>１．【新入社員向け講話】　5/22（水）実施済み･･･＞CIを説明</t>
  </si>
  <si>
    <t>２．【4月実績】　売上高14億円（前年比＋6億円）、営業利益62百万円（同＋36百万円）</t>
  </si>
  <si>
    <t>３．【大分銀行との共創】　5/30（木）14:00～ビジカム：セキュリティーセミナー（当社主催）</t>
  </si>
  <si>
    <t>４．【その他】　役員DC（確定拠出年金）、役員ライフプラン支援金制度導入を検討中</t>
  </si>
  <si>
    <t>【臼杵市】市政20周年イベント（ドローンショー）打ち合わせ（5/23）</t>
  </si>
  <si>
    <t>【津久見市】自治体向け勤怠管理システムデモ（5/22）</t>
  </si>
  <si>
    <t>【日田市教委】校務・教育用PCリース調達対応（5/23）</t>
  </si>
  <si>
    <t>【国東市教委】校務用PC入札対応（5/23）　【姫島村教委】PC更新案件仕様書案提出（5/23）</t>
  </si>
  <si>
    <t>【その他】ソリューションフェア準備　　国保情報システムバージョンアップ作業</t>
  </si>
  <si>
    <t>【第2ﾌﾟﾛ】日田市：AcrocityV2.2本稼働 5/20、3市1町 JV定例会、補助金申請用の標準化見積準備</t>
  </si>
  <si>
    <t>JV定例会：杵築市・日田市 5/21、宇佐市・九重町 5/22</t>
  </si>
  <si>
    <t>【第3ﾌﾟﾛ】大分県：ガバメントクラウド回線・ネットワーク構築共同利用　6月入札　7月業者決定予定、</t>
  </si>
  <si>
    <t>JV事業推進委員会 5/24</t>
  </si>
  <si>
    <t>要介護認定事業工程管理　高齢者福祉課・NTTデータ打合せ　、国保連合会：パソコン100台対応可否確認中</t>
  </si>
  <si>
    <t>【公共SS】大分県：今年度予定業務の打ち合わせ（新規構築・制度改正・端末更新対応）5/28協議</t>
  </si>
  <si>
    <t>【ｴﾝﾄﾘｰ】大分市商工労政課貨物運送事業者支援金業務開始：5/20、LoGoﾌｫｰﾑﾄﾗｽﾄﾊﾞﾝｸ研修2.3回目実施</t>
  </si>
  <si>
    <t>長寿応援バスICカード化対応　　別府市：市報スキャニング入札準備、給付金案件（2件）見積対応</t>
  </si>
  <si>
    <t>竹田市：窓口DX RFI対応　　玖珠町：BPR紹介　　ツーリズムおおいた：観光DX報告会</t>
  </si>
  <si>
    <t>別府市：非課税・均等割給付金 スケジュール打合せ、大分市：臨時的実行環境住民税連携 本稼働</t>
  </si>
  <si>
    <t>【社会ｲﾝﾌﾗ】　IaaS：TDSL(岡山市WAF接続環境構築:ｱｸｾｽ障害対応)、個別対応(中津市、社内)</t>
  </si>
  <si>
    <t>　IDC：通常運用(特に問題なし)、IDCﾌﾛﾝﾃｨｱ(上期業務改善活動取組み)、ﾊｳｼﾞﾝｸﾞ連絡先確認</t>
  </si>
  <si>
    <t>【NW】　大分市(次期全庁仮想端末基盤)、臼杵市(行政ｲﾝﾄﾗ・ｸﾞﾛｰﾊﾞﾙIPｱﾄﾞﾚｽ変更:IDC内ｱｸｾｽ回線工事)</t>
  </si>
  <si>
    <t>　豊後高田市(基幹系ADｻｰﾊﾞ更改 完了)、一燈園(Fortigate導入作業　完了)</t>
  </si>
  <si>
    <t>【ﾃｸﾆｶﾙ】　県内保守(官庁23件、文教7件)　県外保守(九地整1件)、大分市ﾌﾟﾘﾝﾀCall受付8件</t>
  </si>
  <si>
    <t>【その他】　・来社：ｺﾑﾘﾝｸｽ(5/22)、ApresiaSystems(5/23)　・AWS勉強会(ﾈｯﾄﾜｰﾙﾄﾞ5/22)</t>
  </si>
  <si>
    <t>【税・収納Gr】    個人住民税普徴課税実施中、PKG不具合10日間で16件出荷と多く苦戦</t>
  </si>
  <si>
    <t>【住基・福祉Gr】 豊後高田市・・・ＡＤサーバー入替実施（5/18）⇒20日以降運用フォロー中</t>
  </si>
  <si>
    <t>【内部・個別Gr】 人事給与・・・定額減税に伴う給与明細記載仕様の問合せ多数</t>
  </si>
  <si>
    <t>【保険Gr】　　    国保・・・証一体化対応、QRコード対応、介護＆後期・・・標準化事前データ移行検証</t>
  </si>
  <si>
    <t>【他】 　　         運用保守定例会・・・佐伯市（5/23）</t>
  </si>
  <si>
    <t>【標準化Gr】&lt;AcrocityVup&gt;【宇佐】5/20稼働開始、大きな問題なし【杵築】ﾕｰｻﾞﾃｽﾄ実施中</t>
  </si>
  <si>
    <t xml:space="preserve">               &lt;大分県/標準化支援事業&gt;5/23定例会実施　2024年度事業(2025年3月まで)受注！</t>
  </si>
  <si>
    <t>【ｱｳﾄｿｰｼﾝｸﾞ】12団体ｱｳﾄｿｰｼﾝｸﾞ業務順調、民税普徴当初課税（臼杵・竹田・国東・中津）</t>
  </si>
  <si>
    <t>【大分CSC】定例会：杵築(5/21 AM)、日田(5/21 PM)、JV事業推進委員会(5/24)</t>
  </si>
  <si>
    <t>【他】部会議(5/22)…新年度部門目標を展開</t>
  </si>
  <si>
    <t>　・事業部内ワーキング2024年度第１回　5/24開催</t>
  </si>
  <si>
    <t>　・デジタル庁　事業者協議会　5/29参加予定</t>
  </si>
  <si>
    <t>　・社長診断　5/21、事業部戦略会議　5/24開催、事業部会議　5/27開催、PM改革対応（～6月末）</t>
  </si>
  <si>
    <t>【第1Gr】ジェイリース　ZIA更新、OSライセンス、MailAdviser　成約</t>
  </si>
  <si>
    <t>【第1Gr】大分銀行　ダイレクトコール業務効率化　打合せ</t>
  </si>
  <si>
    <t>【第2Gr】竹内病院　電子カルテ（PMED）デモ　5/23～24</t>
  </si>
  <si>
    <t>【第2Gr】村上記念病院様　介護支援システムサーバリプレイス　納品作業</t>
  </si>
  <si>
    <t>【第2Gr】立命館アジア太平洋大学　受付システム（ラクネコ）提案、APハウスLAN配線工事　見積準備</t>
  </si>
  <si>
    <t>・carbonote：ミエデン協業打ち合わせ、エコテクノ展　出展準備</t>
  </si>
  <si>
    <t>・tasCare：レバレジーズ　看護情報サイトでのコラム記事掲載打合せ</t>
  </si>
  <si>
    <t>・pickture：ルートインジャパン再提案（定額プラン　380施設）、LP問合せ対応</t>
  </si>
  <si>
    <t>・佐世保記念病院病床管理システム改修・サーバリプレース案件見積準備</t>
  </si>
  <si>
    <t>・その他情報交換等：エプソン、メディアシステム、アライドテレシス、福岡経済同友会、臼杵運送</t>
  </si>
  <si>
    <t>・日立製作所：JR四国車両区所サブシステム機能改修⇒基本設計、日立による基本設計レビュー(2回目)</t>
  </si>
  <si>
    <t>・津久見市：タイムノート（勤怠管理）導入⇒現地デモ実施</t>
  </si>
  <si>
    <t>・大分銀行：システム構築ヒアリング・HULFT環境準備⇒要件確認中</t>
  </si>
  <si>
    <t>・NS九州：実績進行分散化→総合ﾃｽﾄ(古田)、製鋼分析刷新→詳細設計(野村)、本稼働ﾌｫﾛｰ(吉武)</t>
  </si>
  <si>
    <t>・オーシー：自動振替変更→完(田邊)、各種ﾃｽﾄ、月次業務(小野)、入会ｼｽﾃﾑ規約変更(猿渡)</t>
  </si>
  <si>
    <t>・APU情ｼｽ：太陽光設置に伴う停電対応(6/1～2)…各種計画ﾁｪｯｸ、不明点確認。ｵﾌｨｽ引越と並行実施</t>
  </si>
  <si>
    <t>・APU入試：[全体]ｵﾌｨｽ移転(5/30～31)に伴う調整大詰め　[国内]次期基幹運用ﾃｽﾄｼﾅﾘｵ作成</t>
  </si>
  <si>
    <t>・営業関係：APUｵﾝﾗｲﾝ入試見積対応・・・稟議作成、　・大銀運用室…5/31退場者調整</t>
  </si>
  <si>
    <t>大分県ドローン協議会　5/22　展示会・出展分科会　開催</t>
  </si>
  <si>
    <t>地方企業向け：海外展開支援事業に関する説明会　5/24　参加</t>
  </si>
  <si>
    <t>観光情報発信事業　提案に向けて準備中（6/20 企画提案書〆切）</t>
  </si>
  <si>
    <t>別大：数理・データサイエンス・AI授業　取り組みのQiita記事公開</t>
  </si>
  <si>
    <t>https://qiita.com/RyoWakabayashi/private/067ae96c8d1e75c1f609</t>
  </si>
  <si>
    <t>チーム大分カンファレンス：別府トキハ店イベント（6/29）に向けた宇佐市訪問説明</t>
  </si>
  <si>
    <t>盛土情報管理システム：要件・設計対応中　大分市公式アプリ：来年度予算化用見積補足稟議回付中</t>
  </si>
  <si>
    <t>豊後高田市商品券：実施報告資料納品　受注・配達管理システム(３次開発)：見積補足稟議回付中</t>
  </si>
  <si>
    <t>ビジカム：情報セキュリティカードゲームセミナー 5/30 14:00〜 講師：瀧石Gr長</t>
  </si>
  <si>
    <t>https://www.oitabank.co.jp/topics/seminar/article/20240530.html</t>
  </si>
  <si>
    <t>【東日本】・東京都：LoGoフォームヘルプデスク案件　受注!! 大分データエントリーとの協業案件</t>
  </si>
  <si>
    <t>・千葉県船橋市：粗大ゴミ受付管理システム導入RFP PMOを実施　エスプールグローカル協業案件</t>
  </si>
  <si>
    <t>【西日本】・富山県：県営住宅管理システム 見積及び仕様書案提出（9月補正）</t>
  </si>
  <si>
    <t>・滋賀県大津市：来年度予算（施設予約、インフラ案件）見積に向けヒアリング訪問　5/24　</t>
  </si>
  <si>
    <t>【九州】・福岡県長崎県：財務システム構築（福岡県5/16訪問打合せ　長崎県5/20訪問打合せ）</t>
  </si>
  <si>
    <t>・鹿児島市：eG-Resource粗大ごみ受付システム構築業務委託　RFP 5/22公示　仕様書確認中</t>
  </si>
  <si>
    <t>【東京】さいたま市基盤（FJJリモート接続立会い、BKクラスタ障害対応、アビーム指摘対応等）</t>
  </si>
  <si>
    <t>・港区CS（住基更改打合せ）、中央区子育て（SV現地設置）、市川市（業務SV移行打合せ）</t>
  </si>
  <si>
    <t>【大分】(運用業務)　県内・県外：問題無し、　大津市 IaaS基盤(AOS,ESXi VerUP　5/25)</t>
  </si>
  <si>
    <t>・営業向け新サービス説明会実施（PPAP対策、Backup&amp;EDR）大津市 ガバクラ接続に関するヒアリング</t>
  </si>
  <si>
    <t>【福井県財務PJ】　メイン工程：設計、開発　5/23 SSO協議、請求書連携（インフォマート）協議</t>
  </si>
  <si>
    <t>【第１グループ】　5/23 和歌山県調達運用保守定例会議、メールサーバDKIM対応</t>
  </si>
  <si>
    <t>【第２グループ】　5/28 滋賀県会計年度定例会　5/31京都府教育人事プログラム入れ替え</t>
  </si>
  <si>
    <t>【香川グループ】　定額減税対応　【北陸グループ】　富山ファイルサーバ→京都へ移行（統合）</t>
  </si>
  <si>
    <t>【第１Gr】佐賀財務　運用保守決算処理準備、大分財務支援継続(本矢、瓜生田)、その他要員調整</t>
  </si>
  <si>
    <t>【第２Gr】・5/30　山口県人事システムキックオフ（予定）・6/7～10 福岡県人事システムキックオフ（予定）</t>
  </si>
  <si>
    <t>【第３Gr】(施設予約)福岡市 追加ｶｽﾀﾏｲｽﾞ対応、熊本市 環境構築　(県住宅)5/24新案件打合せ</t>
  </si>
  <si>
    <t>【その他】ﾕｰｻﾞｰ対応　ﾓﾊﾞｲﾙｺﾐｭﾆｹｰｼｮﾝｽﾞ、ﾏﾝﾊﾟﾜｰｸﾞﾙｰﾌﾟ等、5/31　社長診断予定</t>
  </si>
  <si>
    <t>福岡長崎財務ﾌﾟﾛｼﾞｪｸﾄ準備、日立製作所ﾌﾟﾛｼﾞｪｸﾄ支援、佐賀県営業案件情報共有</t>
  </si>
  <si>
    <t>【運用Gr】5月出荷分課題対応、R5年度決算統計対応、各種問い合わせ対応</t>
  </si>
  <si>
    <t>　　　　　　5/22,23 4月出荷分PTF適用</t>
  </si>
  <si>
    <t>【導入Gr】月次決算、税連携対応。大分県が把握している数値と突合。5/21県有財産打合せ実施。</t>
  </si>
  <si>
    <t>【営業案件】特になし　　　　　　　　　　　　　　　　　　　　【その他】（浅野）大分出張5/20-24。次週も。</t>
  </si>
  <si>
    <t>　・群馬県財務本稼働支援：5/20-24RS現地支援（竹内）。日次月次支援（後藤）。</t>
  </si>
  <si>
    <t>　・運用支援PROJ：【市川市】文書サーバOS更改作業(市川市直契約)。 【東松山】定額減税他対応中。</t>
  </si>
  <si>
    <t>　・ISEユーコープ：【保守】障害・要望対応、移行作業支援　【調達・在庫数】結合試験、ST1準備</t>
  </si>
  <si>
    <t>　　　　　　　　　　　　【商品/フェイス】運用試験　【宅配・納品】ST2。</t>
  </si>
  <si>
    <t>　5/15～　FPT開発キックオフ実施　FPTニアショアにて開発中。</t>
  </si>
  <si>
    <t>　5/24　福岡支社常駐のTPIのうち４名について財務会計の開発・単体テスト着手。</t>
  </si>
  <si>
    <t>大分県財務支援（ソリューション開発部、福岡支社）継続</t>
  </si>
  <si>
    <t>【営業】ユビレジ：日本郵船 客船内モバイルオーダーシステム構築ヒアリング</t>
  </si>
  <si>
    <t>【営業】オークネット：モバイルアプリ対応API受注</t>
  </si>
  <si>
    <t>【運用Gr】(v2)目黒区社内打合せ実施　(v3)担当変更の連絡中、堺市6月からクレジット決済開始予定</t>
  </si>
  <si>
    <t>【開発Gr】(v3)大分市クエリ作成、福岡市開発、投資開発、保守(開発・検証)、(v2)パスコ保守</t>
  </si>
  <si>
    <t>【PKG管理Gr】v3投資(要件定義、基本設計、詳細設計、開発)、v3保守</t>
  </si>
  <si>
    <t>【その他】特になし</t>
  </si>
  <si>
    <t>横浜市：定例会(5/22)</t>
  </si>
  <si>
    <t xml:space="preserve">墨田区：定例会(5/22) 府中市：定例会(5/23)  中央区：操作研修準備(5/27, 28実施予定) </t>
  </si>
  <si>
    <t>横浜市：オンライン決済施設向け操作説明会(5/23, 24)</t>
  </si>
  <si>
    <t>【ｿﾘｭｰｼｮﾝｻｰﾋﾞｽGr】調達対応:千葉県船橋市(見積PMO 5/22)、鹿児島市(5/22公示予定)</t>
  </si>
  <si>
    <t>堺市ｷｬｯｼｭﾚｽ決済稼働日調整中（堺市と決済業者の契約完了）</t>
  </si>
  <si>
    <t>　　　　　　　　　オフィス運用改善（カフェスペース活用）対応中</t>
  </si>
  <si>
    <t>・その他　　　　横浜サービスセンター改善支援対応中</t>
  </si>
  <si>
    <t>　　　　　　　　　社宅契約手続き（転居、新規契約）対応</t>
  </si>
  <si>
    <t>・長崎県訪問　財務システム導入についての協議</t>
  </si>
  <si>
    <t>・山口県人事システム要件定義受注　山口県と日立システムズにご挨拶</t>
  </si>
  <si>
    <t>・福岡県長崎県財務システムプロジェクト　PM伴走についての社内協議</t>
  </si>
  <si>
    <t>・社長診断　ビジネスプロデュース部参加</t>
  </si>
  <si>
    <t>・社長診断　ＩＴサービス事業部、ビジネスプロデュース事業部　出席</t>
  </si>
  <si>
    <t>・（株）セールスフォースジャパン　岡﨑常務執行役員来社　打ち合わせ</t>
  </si>
  <si>
    <t>１．S/F受付　6/3から自動受付システム 『ラクネコ』 運用開始　（利用の徹底が安定運用のコツです！）</t>
  </si>
  <si>
    <t>２．5/29 大分本社での避難訓練　ご協力ありがとうございました！　問題点を整理し改善に繋げます</t>
  </si>
  <si>
    <t>３．イベント　6/10 定時株主総会　＠トキハ会館</t>
  </si>
  <si>
    <t>４．OEC公式Ｘ 各部署でも積極的な情報発信を検討ください。連絡頂ければ総務部が支援します。</t>
  </si>
  <si>
    <t>５．N/F 3F女子トイレで喫煙の苦情多発、S/F 男子トイレも同様　他の社員への健康被害を与える行為</t>
  </si>
  <si>
    <r>
      <t>(採用活動) 2025大卒選考　応募72名　⇒　内定24名　⇒　承諾</t>
    </r>
    <r>
      <rPr>
        <sz val="11"/>
        <color rgb="FFFF0000"/>
        <rFont val="Meiryo UI"/>
        <family val="3"/>
        <charset val="128"/>
      </rPr>
      <t>11</t>
    </r>
    <r>
      <rPr>
        <sz val="11"/>
        <color rgb="FF000000"/>
        <rFont val="Meiryo UI"/>
        <family val="3"/>
        <charset val="128"/>
      </rPr>
      <t xml:space="preserve">名  辞退 </t>
    </r>
    <r>
      <rPr>
        <sz val="11"/>
        <color rgb="FFFF0000"/>
        <rFont val="Meiryo UI"/>
        <family val="3"/>
        <charset val="128"/>
      </rPr>
      <t>7</t>
    </r>
    <r>
      <rPr>
        <sz val="11"/>
        <color rgb="FF000000"/>
        <rFont val="Meiryo UI"/>
        <family val="3"/>
        <charset val="128"/>
      </rPr>
      <t>名</t>
    </r>
    <r>
      <rPr>
        <sz val="11"/>
        <color rgb="FF0066CC"/>
        <rFont val="Meiryo UI"/>
        <family val="3"/>
        <charset val="128"/>
      </rPr>
      <t xml:space="preserve"> （難航・・）</t>
    </r>
  </si>
  <si>
    <t>(大学訪問) 5/31 下関市立大学、福岡大学　　　　(インターンシップ) 大分高専募集中</t>
  </si>
  <si>
    <r>
      <t>(新人配属) 各職場ニーズ調査終了、先輩との座談会実施(初)後に新人の希望調査　</t>
    </r>
    <r>
      <rPr>
        <sz val="11"/>
        <color rgb="FFFF0000"/>
        <rFont val="Meiryo UI"/>
        <family val="3"/>
        <charset val="128"/>
      </rPr>
      <t>配属は6/18</t>
    </r>
  </si>
  <si>
    <t>(入退社)　5月末退職 2名 、 6月入社 2名（公共ソリューション部、マネジメント推進部）</t>
  </si>
  <si>
    <t>・Sansan打合せ (5/27)</t>
  </si>
  <si>
    <t>・社外アドバイザーPMインタビュー参加 (5/28)</t>
  </si>
  <si>
    <t>・東京海上日動提案(GLTD) (5/29)</t>
  </si>
  <si>
    <t>・横浜市役所訪問・打合せ (6/4)</t>
  </si>
  <si>
    <t>・スキルアップ目標制度検討</t>
  </si>
  <si>
    <t>【CI】　CIワークショップ開催計画中　ビジョンブック配布予定</t>
  </si>
  <si>
    <t>CIワークショップ</t>
  </si>
  <si>
    <t>【CI】　CI（コーポレート・アイデンティティー）公開情報の振り返り会　録画公開</t>
  </si>
  <si>
    <t>【戦略・特命】　行動規範のアセスメント評価反映協議（人事部と連携）</t>
  </si>
  <si>
    <t>【戦略・特命】　プロ管及びPKG回収データ分析の協議（経営管理部と連携）</t>
  </si>
  <si>
    <t>【戦略・特命】　アステム（自治体向けフェアの共同出展）_DXプロデュース部連携</t>
  </si>
  <si>
    <t>3/13発生の横浜サービスセンター誤発送事故について、JISAから報告結果通知→前回と同じく「注意」</t>
  </si>
  <si>
    <t>5/30 ビジカムでセキュリティカードゲーム実施。ほか社外セミナー準備、新入社員教育の見直し・準備中。</t>
  </si>
  <si>
    <t>ウイルススキャンUSBを配布しました。今後の管理、Trellixアンインストールについてはお知らせを確認のこと。</t>
  </si>
  <si>
    <t>5/28のお知らせ</t>
  </si>
  <si>
    <t>6/3 15:30-16:00「パッケージ投資費用回収及び販売管理実績表」説明会 ※次長以上に回覧案内</t>
  </si>
  <si>
    <t>社長診断 6/3の週なし。今後予定は 6/14 ソリューション事業部、6/18 DXプロデュース事業部。</t>
  </si>
  <si>
    <t>社長診断の通達</t>
  </si>
  <si>
    <t>4．アパート契約（新規／更新／解約）は早めに財務部までご連絡をお願いします。</t>
  </si>
  <si>
    <r>
      <rPr>
        <sz val="11"/>
        <color rgb="FF000000"/>
        <rFont val="Meiryo UI"/>
        <family val="3"/>
        <charset val="128"/>
      </rPr>
      <t>5．</t>
    </r>
    <r>
      <rPr>
        <sz val="11"/>
        <color rgb="FFFF0000"/>
        <rFont val="Meiryo UI"/>
        <family val="3"/>
        <charset val="128"/>
      </rPr>
      <t>発注伺書の回付時のお願い</t>
    </r>
    <r>
      <rPr>
        <sz val="11"/>
        <color rgb="FF000000"/>
        <rFont val="Meiryo UI"/>
        <family val="3"/>
        <charset val="128"/>
      </rPr>
      <t>は補足をご確認ください。</t>
    </r>
  </si>
  <si>
    <t>【大分銀行】　5/29　DX推進部（4月新設）来社、同部ミッションや活動の説明、当社との連携の依頼あり</t>
  </si>
  <si>
    <t>5/30 医療推進ﾁｰﾑ：ﾀｲﾑﾉｰﾄ for medicalおよびtasCareの見込先紹介あり→DXﾋﾞｼﾞﾈｽﾌﾟﾛﾃﾞｭｰｽ部へ</t>
  </si>
  <si>
    <t>【役員DC】　導入に向けた準備、6/3（月）福田会計士を訪問→会計処理上の留意点を確認</t>
  </si>
  <si>
    <t>【社外対応】　6/10（月）開催の株主総会、取締役会の準備、社員持株会対応</t>
  </si>
  <si>
    <t>【全団体】障害者自立支援給付審査支払等システム改修業務　見積対応、健康管理システム　調達仕様</t>
  </si>
  <si>
    <t>　　　　　　書案作成対応、国保標準システムデータベース　アップデート対応</t>
  </si>
  <si>
    <t>【津久見市】資産管理システム再構築　見積・契約準備（5/30）　　【国東市】端末106台　落札（5/30）</t>
  </si>
  <si>
    <t>【竹田市】窓口支援システム導入　RFI説明会（5/27）</t>
  </si>
  <si>
    <t>【国東市教委】校務用パソコン60台　落札（5/30）　　【由布市教委】校務用PC156台　不落（5/29）</t>
  </si>
  <si>
    <t>【第2ﾌﾟﾛ】標準化 補助金申請・早期検証事業申込の見積準備、杵築市図書館システム更新 見積説明(5/29)</t>
  </si>
  <si>
    <t>【標準化補足】</t>
  </si>
  <si>
    <t>【第3ﾌﾟﾛ】大分県：ガバメントクラウド回線・ネットワーク構築共同利用　6月入札　7月業者決定予定　仕様書案</t>
  </si>
  <si>
    <t>　早期移行団体検証事業：6/7 申込み〆切</t>
  </si>
  <si>
    <t>対応中、国保連合会：パソコン100台対応可否確認中、盛土情報システム：横展開に向けた打合せ開始</t>
  </si>
  <si>
    <t>　補助金申請：6月中に向けて準備</t>
  </si>
  <si>
    <t>【公共SS】大分県・大分市（児童手当支給処理運用支援）　別府市介護保険年次処理（5/26）</t>
  </si>
  <si>
    <t>　※県内ユーザ向けに説明会実施 6/3</t>
  </si>
  <si>
    <t>【ｴﾝﾄﾘｰ】大分県：経営規模等評価申請書総合評定値請求書業務委託　落札(5/28)</t>
  </si>
  <si>
    <t>別府市：コドモン保育所先生向けデモ実施、市報スキャニング入札準備、印刷事後処理機入札対応</t>
  </si>
  <si>
    <t>竹田市：窓口DX RFI対応　　ソリューションフェア準備　　三菱UFG：宇宙関連意見交換会</t>
  </si>
  <si>
    <t>【ｿﾘｭｰｼｮﾝ推進Gr】窓口DXSaaS 竹田市デジ田RFI説明会（5/28）、BCC：健管システム標準化支援</t>
  </si>
  <si>
    <t>大分市：知財創庫サーバOS入替対応（6/3～）、臼杵市：ウフル×OECワークショップ 江藤参加</t>
  </si>
  <si>
    <t>【社会ｲﾝﾌﾗ】　IaaS：TDSL(岡山市WebLogicﾊﾞｰｼﾞｮﾝｱｯﾌﾟ)、個別対応(豊後大野市ﾘｿｰｽ変更)</t>
  </si>
  <si>
    <t>【NW】　大分市(次期全庁仮想端末基盤応札準備)、臼杵市(行政ｲﾝﾄﾗ・ｸﾞﾛｰﾊﾞﾙIP変更:DC内回線工事完了)</t>
  </si>
  <si>
    <t>　ｼﾞｪｲﾘｰｽ(大分本社ｽｲｯﾁ更改完了)</t>
  </si>
  <si>
    <t>【ﾃｸﾆｶﾙ】　県内保守(官庁19件、文教4件)　県外保守(九地整3件、福岡県1件)、大分市ﾌﾟﾘﾝﾀCall受付8件</t>
  </si>
  <si>
    <t>【その他】ｶﾞﾊﾞﾒﾝﾄｸﾗｳﾄﾞ関連（Gcom5/28打合せ、NOS5/28打合せ）</t>
  </si>
  <si>
    <t>【税・収納Gr】    個人住民税／普徴課税完了。但し、現在もパッケージ不具合続出 ⇒ 対応継続中</t>
  </si>
  <si>
    <t>【住基・福祉Gr】 MICJET番号連携サーバー・・・修正資源適用完了（5/25）</t>
  </si>
  <si>
    <t>【内部・個別Gr】 人事給与・・・実態調査関連のQA対応、図書館/日出・・・蔵書点検立ち合い（5/28）</t>
  </si>
  <si>
    <t>【他】 　　         自治体標準化・・・先行団体の情報入手のためGcom社訪問（後藤、森、弓削、狩生）</t>
  </si>
  <si>
    <t>【標準化Gr】&lt;AcrocityVup&gt;【杵築】ﾕｰｻﾞﾃｽﾄ完了、課題なし　5/28定例会にて本番切替計画を説明</t>
  </si>
  <si>
    <t xml:space="preserve">               &lt;大分県/標準化支援事業&gt;標準化に関する情報収集を継続中</t>
  </si>
  <si>
    <t>　・県内11団体/ｶﾞﾊﾞｸﾗ早期移行検証事業の公募説明会(6/3)　　・Gcom協議…先行団体状況(6/6)</t>
  </si>
  <si>
    <t>【ｱｳﾄｿｰｼﾝｸﾞ】12団体定例業務…順調、当初課税:民税普徴(佐伯・豊後大野・豊後高田・日出・由布)</t>
  </si>
  <si>
    <t>【大分CSC】日田/情報統計課来社…設備監査(センター・IDC)、杵築・日田/当初課税:住民税普徴</t>
  </si>
  <si>
    <t>　・デジタル庁　事業者協議会　5/29参加、　デジタル庁　文字説明会6/3参加予定</t>
  </si>
  <si>
    <t>　・事業部内　最新工数見積もり説明会　参加</t>
  </si>
  <si>
    <t>　・PM改革対応（～6月末）</t>
  </si>
  <si>
    <t>【第1Gr】戸髙鉱業社　パソコンリプレース案件等　打合せ</t>
  </si>
  <si>
    <t>【第1Gr】ダイプロ　財務システムリプレース等　打合せ</t>
  </si>
  <si>
    <t>【第1Gr】シコク硫炭　業務端末、プリンタ　成約</t>
  </si>
  <si>
    <t>【第2Gr】竹内病院　電子カルテ（MALL）デモ後ヒアリング、見積準備</t>
  </si>
  <si>
    <t>【第2Gr】大分県看護科学大学　実習センターWi-Fi環境整備　打合せ</t>
  </si>
  <si>
    <t>・carbonote：ミエデン協業打ち合わせ</t>
  </si>
  <si>
    <t>・pickture：富士急グループ導入提案</t>
  </si>
  <si>
    <t>・電子カルテ導入コンサル：竹内病院、宮崎アステム訪問</t>
  </si>
  <si>
    <t>・大分県内ローラー：中村病院、豊後大野市民病院、他16病院ローラー訪問（tascare）</t>
  </si>
  <si>
    <t>・福岡ユーザー訪問：臼杵運送、九電工、キューコーリース、西日本シティ銀行、西鉄</t>
  </si>
  <si>
    <t>・日立製作所：JR四国車両区所サブシステム機能改修⇒基本設計、日立による基本設計レビュー実施</t>
  </si>
  <si>
    <t>・佐世保記念病院：病床管理システム機能追加⇒見積中</t>
  </si>
  <si>
    <t>・ふくおかフィナンシャルグループ：オムニチャネル更改に伴う改修作業⇒見積稟議中</t>
  </si>
  <si>
    <t>・大銀運用室：帳票電子化…連日PGﾘﾘｰｽ、6月～紙印刷&amp;仕分廃止による業務縮小→佐藤大退場</t>
  </si>
  <si>
    <t>・日立HS21：PG変更関連詳細設計→生産実績入力、受注生産引当の仮実装完、ﾃﾞﾊﾞｯｸﾞ中(田中)</t>
  </si>
  <si>
    <t>・APU情ｼｽ：新棟太陽光設置に伴う停電(6/1～2)…計画最終ﾁｪｯｸ、不明点確認。ｵﾌｨｽ引越と並行</t>
  </si>
  <si>
    <t>・APU入試：執務室移転(5/30～31)…A棟2F→1F、ﾊﾟｰﾃｨｼｮﾝ隔離の相部屋となり、執務変更を検討</t>
  </si>
  <si>
    <t>・営業関係：APUｵﾝﾗｲﾝ入試見積対応・・・稟議作成、　・APU…5/31退職者調整(入試Gr 古長)</t>
  </si>
  <si>
    <t>大分メタバース活用検討会　5/28　定例会　　　　　minsora　5/28　定例会</t>
  </si>
  <si>
    <t>観光情報発信事業　5/29　関係各社との打合せ、提案に向けて準備中（6/20 企画提案書〆切）</t>
  </si>
  <si>
    <t>ICT海外展開パッケージ支援事業（ネパール農業IoT）　5/30　関係各社との打合せ、提案準備中</t>
  </si>
  <si>
    <t>ドローン産業・空飛ぶクルマ研究開発事業費補助金　5/31　プレゼン</t>
  </si>
  <si>
    <t>Japan Drone 2024（6/5～6/7）　大分県ドローン協議会ブース内にて展示予定</t>
  </si>
  <si>
    <t>宇宙：大分県補助金事業審査会準備、玖珠町Prj現地訪問MTG、minsora月次MTG</t>
  </si>
  <si>
    <t>北九大：5/29 山崎先生来社　今後の協業に関する意見交換実施</t>
  </si>
  <si>
    <t>盛土情報管理システム：要件・設計対応中　教育・保育共有システム：6/4 顧客追加要望ヒアリング</t>
  </si>
  <si>
    <t>OKPT:6/3 定例MTG,書き込み手帳アプリ:6/4 二次開発着手前MTG,観光情報発信事業:提案準備中</t>
  </si>
  <si>
    <t>DX塾 第84回  繋がりと発見のCLS高知 6/5（水）10:00 ～　講師：DXビジネスSol部 桑本</t>
  </si>
  <si>
    <t>https://oec.cybozu.com/g/bulletin/view.csp?cid=3&amp;aid=1502</t>
  </si>
  <si>
    <t>【東日本】・東京23区、公益財団法人へのローラー営業中(放置自転車対策、デジタルサイネージ等)</t>
  </si>
  <si>
    <t>・杉並区：施設予約システム用HW/SW　リース入札にて受注!(JECC社との協業)</t>
  </si>
  <si>
    <t>【西日本】・京都府：Nutanix勉強会実施予定　6月日程調整中</t>
  </si>
  <si>
    <t>・奈良県天理市：ごみ持ち込み予約受付システム導入業務及び保守業務委託指名入札　6/14開札　</t>
  </si>
  <si>
    <t>【九州】・福岡県：ふく電協(M365福岡県域ﾗｲｾﾝｽ)自治体合同説明会(32自治体参加)実施　5/28</t>
  </si>
  <si>
    <t>※ふく電協＝ふくおか電子自治体共同運営協議会</t>
  </si>
  <si>
    <t>・山口県：ﾃﾞｼﾞﾀﾙｶﾞﾊﾞﾒﾝﾄ推進課訪問(共通基盤案件)協議、防府市：ﾃﾞｼﾞﾀﾙ推進課訪問(ｲﾝﾌﾗ案件協議)</t>
  </si>
  <si>
    <t>・山口県 基盤案件（顧客へのヒアリング実施）、Acronis サービス立て付け検討、大分市構成協議</t>
  </si>
  <si>
    <t>【福井県財務PJ】　メイン工程：設計、開発　5/30 定例進捗会議　6/6,6/7 財務個別協議</t>
  </si>
  <si>
    <t>【第１グループ】　6/6 京都府財務運用定例会議　出納閉鎖（6月）に向けた各種対応</t>
  </si>
  <si>
    <t>【第２グループ】　6/3 京都府人事定例会議　6/6 京都府教育人事定例会議</t>
  </si>
  <si>
    <t>【香川グループ】　付加委託料対応　6/1 プログラムリリース　【北陸グループ】　出納閉鎖（6月）対応</t>
  </si>
  <si>
    <t>【第１Gr】佐賀財務　運用保守決算処理、大分財務支援(本矢、瓜生田、坂上)、決算管理設計準備</t>
  </si>
  <si>
    <t>【第２Gr】・6/10の福岡県人事システムキックオフに向けた事前協議予定</t>
  </si>
  <si>
    <t>【第３Gr】(施設予約)福岡市 追加ｶｽﾀﾏｲｽﾞ見積対応　(公社)要望対応ﾌﾟﾛｼﾞｪｸﾄ開始準備</t>
  </si>
  <si>
    <t>【その他】福岡長崎財務調達対応準備、ﾕｰｻﾞｰ対応：ｱｿｳｱﾙﾌｧ、ﾃｸﾉｸﾘｴｲﾃｨﾌﾞ</t>
  </si>
  <si>
    <t>日立製作所ﾌﾟﾛｼﾞｪｸﾄ支援、6/9 福工大新人採用ｲﾍﾞﾝﾄ参加調整</t>
  </si>
  <si>
    <t>【導入Gr】5/29今後の体制（県外メンバーも含む）を大分県に説明。一部見直しし再提出。</t>
  </si>
  <si>
    <t>県有財産5/29打合せ実施。6月受入に向けて準備中。</t>
  </si>
  <si>
    <t>【運用Gr】パッケージ保守：定額減税対応、R5年度決算統計対応、5月定期出荷</t>
  </si>
  <si>
    <t>　　　　　　運用支援：各種問い合わせ対応</t>
  </si>
  <si>
    <t>【営業案件】特になし　　　　　　　　　　　　　　　　　　　　【その他】（浅野）大分出張5/27-30。一旦終了。</t>
  </si>
  <si>
    <t>　・群馬県財務本稼働支援：RS現地支援継続。６月末迄（竹内）。日次月次支援（後藤）。</t>
  </si>
  <si>
    <t>　FPTニアショアにて開発中、次週1本目のソースレビュー予定。週次のWEBミーティングにて状況把握。</t>
  </si>
  <si>
    <t>　福岡支社常駐のTPIのうち４名について財務会計の開発・単体テスト中。5/28 現地立上げ支援実施。</t>
  </si>
  <si>
    <t>5/31（金）社長診断</t>
  </si>
  <si>
    <t>【営業】伊藤忠ｲﾝﾀﾗｸﾃｨﾌﾞ：客船内モバイルオーダーシステム構築提案準備</t>
  </si>
  <si>
    <t>【営業】オークネット：ARMS EC2リプレース案件再見積提示</t>
  </si>
  <si>
    <t>【営業】GMO：GEO中古モバイルオークション構築 ヒアリング</t>
  </si>
  <si>
    <t>【運用Gr】(v2)目黒区カスタマイズ案件打合せ　(v3)堺市6/1の0時からからクレジット決済開始</t>
  </si>
  <si>
    <t>【開発Gr】(v3)大分市マスタ登録支援、福岡市開発、投資開発、保守(開発・検証)、(v2)パスコ保守</t>
  </si>
  <si>
    <t>【その他】開発環境svlv3001サーバの移行を検討中（6月から一部を他に移行し環境を整備予定）</t>
  </si>
  <si>
    <t>横浜市：オンライン決済施設動作確認開始(5/30～6/7)</t>
  </si>
  <si>
    <t>中央区：操作研修(5/27-28) 台東区：定例会(5/31) 横浜市：定例会(5/31)</t>
  </si>
  <si>
    <t>　　　　　　オンライン決済機能稼働判定会議(6/3開催予定)</t>
  </si>
  <si>
    <t>【ｿﾘｭｰｼｮﾝｻｰﾋﾞｽGr】調達対応:千葉県船橋市(提案書作成)、鹿児島市(MICと協業)等、営業支援活動多</t>
  </si>
  <si>
    <t>堺市ｷｬｯｼｭﾚｽ決済（堺市と本番環境でのテスト範囲すり合わせ中）</t>
  </si>
  <si>
    <t>・新卒採用　　6/4　お茶の水女子大学採用イベント参加予定</t>
  </si>
  <si>
    <t>・安全衛生　　健康診断再検査受診勧奨中、6/28　東京本社安全衛生委員会開催予定</t>
  </si>
  <si>
    <t>・マネジメント　6/11　東京本社マネジメント全体会議開催予定、BCP改訂対応中</t>
  </si>
  <si>
    <t>・その他　　　　6/1　マネジメント推進部　堀江さん入社（関係部署の皆さま　よろしくお願い致します）</t>
  </si>
  <si>
    <t>　　　　　　　　 6/12　大分銀行東京支店主催「おおいた在京支社の会」参加予定</t>
  </si>
  <si>
    <t>・東京出張：ＵＯＳ全国協業会議に出席</t>
  </si>
  <si>
    <t>・東京出張：（株）パシフィックメディカル、（株）ＲＯＢＯＮ、（株）カナデンほか</t>
  </si>
  <si>
    <t>・社長診断：システムプロデュース事業部に出席</t>
  </si>
  <si>
    <t>5/27 FCA通常総会出席　東京プリンスホテル　生成AIコミュニティ発足</t>
  </si>
  <si>
    <t>5/27 FCA民需委員会委員　加藤就任　人材委員会委員長　YE DIGITAL遠藤氏就任他</t>
  </si>
  <si>
    <t>5/27 富士通幹部との会食　時田社長他と懇談　富士通　生成AIに注力</t>
  </si>
  <si>
    <t>5/29 デジタル庁事業者協議会出席　今回から運用ベンダー参加　174社363名参加</t>
  </si>
  <si>
    <t>１．6/18(火) 日経ニューオフィス賞現地審査　　書類審査を通過、審査員への挨拶をおねがいします</t>
  </si>
  <si>
    <t>37th_entry_ppt_20240512 (最終版)</t>
  </si>
  <si>
    <t>　　　応募資料を添付：　オフィスコンセプトや設備・仕様、環境配慮などをコンパクトにまとめてあります</t>
  </si>
  <si>
    <t>https://www.nopa.or.jp/prize/index.html</t>
  </si>
  <si>
    <t>２．イベント　6/10 定時株主総会　＠トキハ会館</t>
  </si>
  <si>
    <t>３．OEC公式Ｘ 各部署でも積極的な情報発信を検討ください。連絡頂ければ総務部が支援します。</t>
  </si>
  <si>
    <t>４．N/F エントリー室及びトイレ改修に関する検討着手(2024年度事業)　現状分析・ニーズ把握</t>
  </si>
  <si>
    <r>
      <t>(採用活動) 2025大卒選考　応募72名　⇒　内定24名　⇒　承諾</t>
    </r>
    <r>
      <rPr>
        <sz val="11"/>
        <rFont val="Meiryo UI"/>
        <family val="3"/>
        <charset val="128"/>
      </rPr>
      <t>11</t>
    </r>
    <r>
      <rPr>
        <sz val="11"/>
        <color rgb="FF000000"/>
        <rFont val="Meiryo UI"/>
        <family val="3"/>
        <charset val="128"/>
      </rPr>
      <t xml:space="preserve">名  辞退 </t>
    </r>
    <r>
      <rPr>
        <sz val="11"/>
        <color rgb="FFFF0000"/>
        <rFont val="Meiryo UI"/>
        <family val="3"/>
        <charset val="128"/>
      </rPr>
      <t>9</t>
    </r>
    <r>
      <rPr>
        <sz val="11"/>
        <color rgb="FF000000"/>
        <rFont val="Meiryo UI"/>
        <family val="3"/>
        <charset val="128"/>
      </rPr>
      <t>名</t>
    </r>
    <r>
      <rPr>
        <sz val="11"/>
        <color rgb="FF0066CC"/>
        <rFont val="Meiryo UI"/>
        <family val="3"/>
        <charset val="128"/>
      </rPr>
      <t xml:space="preserve"> （超難航・・）</t>
    </r>
  </si>
  <si>
    <t>(大学訪問) 6/10 同志社大学　(説明会) 6/9 福工大、マイナビ京都、6/15 大分大学</t>
  </si>
  <si>
    <r>
      <t>(新人配属) 各職場ニーズ調査終了、先輩との座談会終了、新人の希望調査中　</t>
    </r>
    <r>
      <rPr>
        <sz val="11"/>
        <color rgb="FFFF0000"/>
        <rFont val="Meiryo UI"/>
        <family val="3"/>
        <charset val="128"/>
      </rPr>
      <t>配属は6/18</t>
    </r>
  </si>
  <si>
    <r>
      <t>　＊＊＊　６月給与より「</t>
    </r>
    <r>
      <rPr>
        <b/>
        <sz val="11"/>
        <color rgb="FFFF0000"/>
        <rFont val="Meiryo UI"/>
        <family val="3"/>
        <charset val="128"/>
      </rPr>
      <t>定額減税</t>
    </r>
    <r>
      <rPr>
        <sz val="11"/>
        <color rgb="FFFF0000"/>
        <rFont val="Meiryo UI"/>
        <family val="3"/>
        <charset val="128"/>
      </rPr>
      <t>」開始　（詳細は5/21のお知らせを確認して下さい）　＊＊＊</t>
    </r>
  </si>
  <si>
    <t>・Japan Drone 2024 (6/5)</t>
  </si>
  <si>
    <t>・社外アドバイザーPMインタビュー参加</t>
  </si>
  <si>
    <t>・日立ＩＴユーザ会第６２回論文募集</t>
  </si>
  <si>
    <t>【CI】CIワークショップ開催　人事部主催　第1回目はコーポレート部門6月14日（金）</t>
  </si>
  <si>
    <t>【CI】年間計画作成　スケジューリング　担当割り作成</t>
  </si>
  <si>
    <t>【DXWG】通達発牒　6月18日（火）キックオフ</t>
  </si>
  <si>
    <t>【戦略・特命】新規事業：社長MTG結果を踏まえて現場部門との方針協議＆方向性整理</t>
  </si>
  <si>
    <t>【ウフル】臼杵市ハッカソンの事後対応支援</t>
  </si>
  <si>
    <t>新入社員マネジメント研修　6月12日（水）～14（金）全体見直し、QMSはグループワークを実施</t>
  </si>
  <si>
    <t>「パッケージ投資費用回収及び販売管理実績表」説明会開催 録画・QA公開中6月14日(金)までに提出</t>
  </si>
  <si>
    <t>クロージングミーティング議事録（サンプル）を制定、通達発牒。プロジェクト完了報告書(PowerEgg)も改訂</t>
  </si>
  <si>
    <t>プロジェクトの振り返りに関する運用の要領等の改訂</t>
  </si>
  <si>
    <t>DX-HUBでのDXWGの活動見える化の準備中　近日公開予定</t>
  </si>
  <si>
    <t>日立ITユーザ会　第61回大会　6/5-6　瀧石Gr長 論文表彰のため出張in名古屋　</t>
  </si>
  <si>
    <t>2．6/10の株主総会後、2023年度決算決算数字を電子公告にて公開予定</t>
  </si>
  <si>
    <t>3．法人税、都府県民税、市民税申告（期限：6/30)</t>
  </si>
  <si>
    <t>【社外対応】6/10（月）株主総会、取締役会　→　決算、配当金、執行役員留任を決議</t>
  </si>
  <si>
    <t>【広報活動】2024年度Business Report制作着手　→　情報提供に協力を！</t>
  </si>
  <si>
    <t>【福利厚生】役員向け確定拠出年金（DC）導入準備　→　7月支給分より</t>
  </si>
  <si>
    <t>【CI】ワークショップ順次開催予定･･･6/14コーポレート部門、6/26東京、7月初旬福岡、7/24西日本</t>
  </si>
  <si>
    <t>【その他】6/11（火）ソフトパーク管理委員会の監査業務</t>
  </si>
  <si>
    <t>【全団体】標準化説明会（6/3）、補助金申請資料・早期移行団体申請手続き対応</t>
  </si>
  <si>
    <t>【豊後大野市】交通災害共済・給食費・住宅浄化槽システム「AcrocityPLUS」　デモ（6/3,5）</t>
  </si>
  <si>
    <t>【竹田市】窓口支援システム　RFI対応、訪問調査モバイル　見積対応</t>
  </si>
  <si>
    <t>【教育庁】教職員パソコン調達　広告（6/7）　※リース入札は7/18</t>
  </si>
  <si>
    <t>【日田市教委】校務用ＰＣ、教育用ＰＣ208台　受注濃厚</t>
  </si>
  <si>
    <t>【第2ﾌﾟﾛ】ガバクラ早期移行団体検証事業6/7〆切、標準化説明会6/3　日田市：FAT端末切替見積説明6/7</t>
  </si>
  <si>
    <t>【その他】三浦：第48回マネジメントスクール参加（6/5～11/13）</t>
  </si>
  <si>
    <t>【第3ﾌﾟﾛ】大分県：ガバクラ回線打合せ6/3、大分市：長寿応援バス事業（ICカード切替事業）概算見積提出</t>
  </si>
  <si>
    <t>国保連合会：PC100台入札参加申請 6/6済、6/20入札、盛土情報システム：横展開打合せ 6/6(1回目)</t>
  </si>
  <si>
    <t>【公共SS】大分県：出納閉鎖対応（決算集計、県債管理集計、退職手当財政健全化）</t>
  </si>
  <si>
    <t>【ｴﾝﾄﾘｰ】東京都LoGoフォームヘルプデスク業務キックオフ会議　6/5、　グリーンコープギフト業務　6/4開始</t>
  </si>
  <si>
    <t>【ｿﾘｭｰｼｮﾝ推進Gr】竹田市：デジ田 スマート窓口会議（6/11）、別府市：国保標準PTF本番（6/7）</t>
  </si>
  <si>
    <t>大分市：知財創庫サーバOS入替立会い（6/3～17）、豊後高田市：給付金申請LoGoフォーム作成</t>
  </si>
  <si>
    <t>【社会ｲﾝﾌﾗ】　IaaS：大分県DB用Nutanix更改準備)、個別対応(県教育庁ほか)、福岡県住宅(回線工事)</t>
  </si>
  <si>
    <t>　IDC：通常運用(特に問題なし)、IDCF(上期業務改善活動取組み)　※急遽５月末でOP派遣者１名交代</t>
  </si>
  <si>
    <t>【NW】　大分市(次期全庁仮想端末基盤応札準備)、臼杵市(行政ｲﾝﾄﾗ・ｸﾞﾛｰﾊﾞﾙIP変更:新規FW設定設置)</t>
  </si>
  <si>
    <t>　帰巖会(一般系ﾃﾞｽｸ&amp;ﾉｰﾄPC更新： 現地調査)、日田教育(FAT端末等更改、VLAN3-4用SW更改)</t>
  </si>
  <si>
    <t>【ﾃｸﾆｶﾙ】　県内保守(官庁18件、文教3件)　県外保守(九地整1件)、大分市ﾌﾟﾘﾝﾀCall受付8件</t>
  </si>
  <si>
    <t>　NW-G支援(九地整巡回ﾒﾝﾃ：大分河川国道、佐伯河川国道) 保守案件対応(ｸﾎﾞﾀ不動産建設、佐賀県警)</t>
  </si>
  <si>
    <t>【税・収納Gr】    個人住民税・・・パッケージ不具合続出⇒対応継続中、コンビニ交付税証明年度切替中</t>
  </si>
  <si>
    <t>【住基・福祉Gr】 選挙システム [ムサシ]来社・・・機能、コストの両面から現行システム(Probono)との比較</t>
  </si>
  <si>
    <t>【内部・個別Gr】 決算統計・・・国への報告資料用資源適用＆現地立合い実施</t>
  </si>
  <si>
    <t>【保険Gr】　　    国保＆介護・・・本算定対応、後期・・・標準化事前ﾃﾞｰﾀ移行検証、年次所得課税対応</t>
  </si>
  <si>
    <t>【他】 　　         運用定例会・・・中津市＆豊後大野市（6/12）、臼杵市（6/14）</t>
  </si>
  <si>
    <t>【標準化Gr】&lt;AcrocityVup&gt;【杵築】6/22からの本番切替作業に向けた準備中　※6/24本番稼働</t>
  </si>
  <si>
    <t xml:space="preserve">               &lt;大分県/標準化支援事業&gt;今年度事業の計画立案中、標準化に関する情報収集を継続</t>
  </si>
  <si>
    <t xml:space="preserve">              ＜標準化対応＞ASK協議(6/6)…Acrocity先行団体の状況、移行ﾂｰﾙなど</t>
  </si>
  <si>
    <t>【ｱｳﾄｿｰｼﾝｸﾞ】本算定:介護・国保(豊後大野・佐伯・国東・由布・日出・竹田・大分)</t>
  </si>
  <si>
    <t>【大分CSC】日田・杵築:選挙 定時登録/収納 口座不能通知/軽自 納付済通知書</t>
  </si>
  <si>
    <t>　・デジタル庁　文字説明会　6/3参加</t>
  </si>
  <si>
    <t>　・事業部内　最新工数見積もり説明会　6/4参加　・・・＞　実施体制も含め精査・検討し社内共有予定</t>
  </si>
  <si>
    <t>　・教育関連　ベネッセUdemyと打合せ　6/12予定</t>
  </si>
  <si>
    <t>【その他】・PM改革対応（～6月末）</t>
  </si>
  <si>
    <t>【第1Gr】ヤマウチ調理食品　職弁配達システム3次開発　受注</t>
  </si>
  <si>
    <t>【第1Gr】八鹿酒造　EDI新規導入等　打合せ</t>
  </si>
  <si>
    <t>【第2Gr】三愛会　2024年度案件　打合せ（プリンタ導入支援、HCIノード追加等）</t>
  </si>
  <si>
    <t>【第2Gr】別府リハビリテーションセンター　2024年～2026年度案件　打合せ</t>
  </si>
  <si>
    <t>【第2Gr】QTnet　佐賀県教職員マネジメントシステム基本設計に関する打合せ</t>
  </si>
  <si>
    <t>・エコー電子工業：ミズ薬局向け健康アプリ２次開発　見積提示、３次開発打合せ</t>
  </si>
  <si>
    <t>・福岡銀行：オムニチャネル更改に伴う改修　見積提示</t>
  </si>
  <si>
    <t>・パシフィックメディカル：鹿児島こども病院電子カルテ導入支援見積準備</t>
  </si>
  <si>
    <t>・山下医科器械：佐世保記念病院向け病床管理システム改修・サーバリプレース案件見積準備（継続）</t>
  </si>
  <si>
    <t>・ユーザー訪問：TKP福岡、西日本シティ銀行、JR九州商事、ウィズワン　　</t>
  </si>
  <si>
    <t>・大分銀行：HULFT構築案件（SESによる支援）⇒契約書締結準備、NTT（連携先）打合せ</t>
  </si>
  <si>
    <t>・佐伯建設：ガリバー（建設業システム）カスタマイズ⇒当社SE作業を含め客先提示予定</t>
  </si>
  <si>
    <t>・大銀開発室：運用室の夜間無人化対応検討、団体保険契約獲得に関するPG修正（足達）</t>
  </si>
  <si>
    <t>・ＪＸ金属：型銅生産管理・・・ﾘｻｲｸﾙ電気銅対応ほか(森﨑)、硫酸出荷管理保守(衞藤)</t>
  </si>
  <si>
    <t>・APU情ｼｽ：停/復電作業完了(6/1～2)　・ｵﾌｨｽ移転支援継続中(5/26～)、トラブル等なし</t>
  </si>
  <si>
    <t>・APU入試：ｵﾌｨｽ移転…ﾚｲｱｳﾄ改修後の本部棟1Fに荷物を搬入し、執務再開(6/3)</t>
  </si>
  <si>
    <t>・営業関係：APUｵﾝﾗｲﾝ入試・・・見積作成　・ｴﾚﾜｲｽﾞ営業：竹田図書館…契約書類作成、注文書送付</t>
  </si>
  <si>
    <t>Japan Drone 2024（6/5～6/7）　大分県ドローン協議会ブース内にて展示</t>
  </si>
  <si>
    <t>観光情報発信事業　6/6　関係各社との打合せ、提案に向けて準備中（6/20 企画提案書〆切）</t>
  </si>
  <si>
    <t>安全性・信頼性を確保したデジタルインフラの海外展開支援事業地方枠　6/7　説明会</t>
  </si>
  <si>
    <t>ドローン産業・空飛ぶクルマ研究開発事業費補助金　採択</t>
  </si>
  <si>
    <t>宇宙：大分県補助金事業 実証枠＆展示会枠ともに採択　6/6MUFJ主催意見交換会参加</t>
  </si>
  <si>
    <t>久大化工機：6/5 客先進捗報告（システムデモ）　6/12操作研修予定</t>
  </si>
  <si>
    <t>盛土情報管理システム：要件・設計対応中,　観光情報発信事業：提案準備中</t>
  </si>
  <si>
    <t>OKPT：6/10 定例MTG,　教育・保育共有システム：追加要望に対する見積作成中</t>
  </si>
  <si>
    <t>6/9：日田市合同防災訓練にてｵﾝﾗｲﾝ問診ｼｽﾃﾑの展示を実施 安部参画 ※雨天により中止の可能性あり</t>
  </si>
  <si>
    <t>【東日本】・NTTデータアイ：東京都総務局用パソコン一式　受注!!　</t>
  </si>
  <si>
    <t>・東京都：LoGoフォームの都民・職員向けヘルプデスク案件のキックオフ開催(Web開催) 6/5</t>
  </si>
  <si>
    <t>【西日本】・岡山県：基盤案件ヒアリング及び当社実績紹介　6/21訪問　</t>
  </si>
  <si>
    <t>・滋賀県：人事システム再構築　6/5打合せ　機能仕様書入手、確認中　7月公告8月業者決定予定　</t>
  </si>
  <si>
    <t>【九州】・鹿児島市：粗大ごみ受付システム（eG-Resource）RFP公示　提案書見積対応中</t>
  </si>
  <si>
    <t>・機器：国土交通省1300台、古賀市300台 見積対応中　・熊本県山鹿市：施設予約デモ　調整中</t>
  </si>
  <si>
    <t>【東京】施設予約（目黒：現地設置6/28まで）、NICT（SW移行計画説明会）</t>
  </si>
  <si>
    <t>・CS（目黒区：定例会、点検）、中央区シニアセンター（点検）</t>
  </si>
  <si>
    <t>・市川市（SV移行作業常駐開始）、人権啓発センター（問合せ現地対応）</t>
  </si>
  <si>
    <t>【大分】(運用業務)　県内・県外：問題無し、　大津市 IaaS基盤(ノード追加 6/7)、電源分散対応(6/7)</t>
  </si>
  <si>
    <t>・山口県 基盤案件（顧客へのヒアリング実施）、下関市 ネットワーク構成と機器構成検討支援</t>
  </si>
  <si>
    <t>【福井県財務PJ】　メイン工程：設計、開発　6/6,6/7,6/11 財務個別協議　6/12 インフォマート協議</t>
  </si>
  <si>
    <t>【第１グループ】　6/6 京都府財務運用定例会議、出納閉鎖に向けた各種対応</t>
  </si>
  <si>
    <t>【香川グループ】　6/10 運用保守定例会議　【北陸グループ】　6/12 運用保守定例会議</t>
  </si>
  <si>
    <t>【その他】　6/5 加藤社長来京（西日本支社のプロジェクト状況等を説明）</t>
  </si>
  <si>
    <t>【第２Gr】・6/10　福岡県人事システムキックオフ参加・山口県人事システム要件定義準備</t>
  </si>
  <si>
    <t>【第３Gr】(施設予約)福岡市 追加ｶｽﾀﾏｲｽﾞ受注、6/6顧客打合せ　(公社)要望対応ﾌﾟﾛｼﾞｪｸﾄ開始</t>
  </si>
  <si>
    <t>【その他】福岡長崎財務調達対応準備、ﾕｰｻﾞｰ対応：NDKCOM</t>
  </si>
  <si>
    <t>日立製作所ﾌﾟﾛｼﾞｪｸﾄ支援、6/9 福工大新人採用ｲﾍﾞﾝﾄ参加(椎原さん)</t>
  </si>
  <si>
    <t>【導入Gr】財務会計運用チーム引き続き多忙。予算編成・決算統計財政課打合せ開始。</t>
  </si>
  <si>
    <t>　　　　　　県有財産　6/5打合せ実施。6/10受入テスト開始予定。</t>
  </si>
  <si>
    <t>【運用Gr】パッケージ保守：６月出荷分問題管理表対応</t>
  </si>
  <si>
    <t>　　　　　　運用支援：各種問い合わせ対応、6/7 5月出荷分PTF適用</t>
  </si>
  <si>
    <t>【営業案件】特になし　　　　　　　　　　　　　　　　　　　　【その他】6/6-7両毛本社・群馬県出張（浅野）</t>
  </si>
  <si>
    <t>　・ISEユーコープ：【保守】障害・要望対応、移行作業支援　【調達・在庫数】結合試験</t>
  </si>
  <si>
    <t>　　　　　　　　　　　　【商品/フェイス】運用試験。6月リリースに向け多忙。　【宅配・納品】ST2。</t>
  </si>
  <si>
    <t>【福井県財務】財務会計、共通管理、電子決裁、備品管理の新規開発対応中</t>
  </si>
  <si>
    <t>　FPTニアショア　6月より3名要員を追加し７名体制で開発中。6/10日週 福岡開発センター訪問予定。</t>
  </si>
  <si>
    <t>　福岡支社常駐のTPIのうち４名について財務会計の開発・単体テスト中。次週よりソースレビュー開始予定。</t>
  </si>
  <si>
    <t>6/4 事業部会議（大分財務支援継続）</t>
  </si>
  <si>
    <t>【営業】オークネット：ARMS EC2リプレース案件受注</t>
  </si>
  <si>
    <t>【営業】オークネット：検査データ連携API改修案件 見積準備中</t>
  </si>
  <si>
    <t>【営業】大和不動産鑑定：基幹システムリプレース 客先検討中</t>
  </si>
  <si>
    <t>【運用Gr】(v2)目黒区　6/7マスタ登録要件定義　(v3)福岡市、堺市中心に問合せ対応中</t>
  </si>
  <si>
    <t>【開発Gr】(v3)大分市マスタ登録支援＆開発、投資開発、保守(開発・検証)、(v2)パスコ保守</t>
  </si>
  <si>
    <t>【PKG管理Gr】v3投資(要件定義、基本設計、詳細設計、開発)、v3保守、杉並区導入支援</t>
  </si>
  <si>
    <t>【その他】小林副事業部長、石井グループ長：6/3～6/6東京出張</t>
  </si>
  <si>
    <t>【東日本施設予約導入Gr】中野区(RFP:R6/11,構築:R7/1～12)北区(RFP:R6/10,構築:R7/4～R8/3)</t>
  </si>
  <si>
    <t>横浜市:稼動後案件等対応中　杉並区:詳細設計中､マスタ設定:PKG連携中　墨田区:要件定義（6/11)</t>
  </si>
  <si>
    <t>横浜市：オンライン決済機能に関する施設動作確認開始</t>
  </si>
  <si>
    <t>【東日本施設予約運用Gr】 各自治体月初資料作成、目黒区：カスタマイズPJ、要件定義実施中</t>
  </si>
  <si>
    <t>横浜SCにて常時２名体制で対応中。（～6/26）</t>
  </si>
  <si>
    <t xml:space="preserve">横浜市：オンライン決済機能稼働判定会議(6/3)　目黒区：定例会(6/4)　府中市：定期訪問(6/5) </t>
  </si>
  <si>
    <t>横浜市：SSLサーバ証明書更新（6/4）</t>
  </si>
  <si>
    <t>【ｿﾘｭｰｼｮﾝｻｰﾋﾞｽGr】調達対応:千葉県船橋市(6/7 提案書提出)、鹿児島市(MICと協業 6/5　参加」申込提出)</t>
  </si>
  <si>
    <t>堺市ｷｬｯｼｭﾚｽ決済（6/6 テスト範囲、実施方法の協議実施）</t>
  </si>
  <si>
    <t>・新卒採用　　6/4　お茶の水女子大学採用イベント参加　応募学生へのフォローアップ対応中</t>
  </si>
  <si>
    <t>・マネジメント　6/11　東京本社マネジメント全体会議開催予定、BCP備蓄品見直し</t>
  </si>
  <si>
    <t>・その他　　　　6/12　大分銀行東京支店主催「おおいた在京支社の会」参加予定</t>
  </si>
  <si>
    <t>　　　　　　　　 社宅契約対応中（新規、更新、解約）</t>
  </si>
  <si>
    <t>・大分県週次課題会議(現地)</t>
  </si>
  <si>
    <t>・福岡県人事システム　プロジェクト計画書確認</t>
  </si>
  <si>
    <t>6/3 FCA民需委員会(加藤委員長)打ち合わせ　パナソニックコネクト社来社</t>
  </si>
  <si>
    <t>6/4 西日本支社訪問　意見交換</t>
  </si>
  <si>
    <t>6/5 日立ITユーザ会名古屋大会出席　当社3名表彰　瀧石氏論文委員長から会場(1000人)で絶賛</t>
  </si>
  <si>
    <t>6/6 JAPAN DRONE出席　幕張メッセ　大盛況　大分県ブースも盛況　利光商工観光労働部長も視察</t>
  </si>
  <si>
    <t>\\10.100.1.232\oec1\LEVEL_C_UP\CU250_業務週報V2.0\2024年度\</t>
    <phoneticPr fontId="1"/>
  </si>
  <si>
    <t>部署</t>
    <rPh sb="0" eb="2">
      <t>ブショ</t>
    </rPh>
    <phoneticPr fontId="1"/>
  </si>
  <si>
    <t>ファイル格納先</t>
    <rPh sb="6" eb="7">
      <t>サキ</t>
    </rPh>
    <phoneticPr fontId="1"/>
  </si>
  <si>
    <t>総務部</t>
    <rPh sb="0" eb="3">
      <t>ソウムブ</t>
    </rPh>
    <phoneticPr fontId="1"/>
  </si>
  <si>
    <t>\\10.100.1.232\oec1\LEVEL_C_UP\CU250_業務週報V2.0\2024年度\01_総務部</t>
    <phoneticPr fontId="1"/>
  </si>
  <si>
    <t>人事部</t>
    <rPh sb="0" eb="3">
      <t>ジンジブ</t>
    </rPh>
    <phoneticPr fontId="1"/>
  </si>
  <si>
    <t>\\10.100.1.232\oec1\LEVEL_C_UP\CU250_業務週報V2.0\2024年度\02_人事部</t>
    <phoneticPr fontId="1"/>
  </si>
  <si>
    <t>総務・人事統括部</t>
    <rPh sb="0" eb="2">
      <t>ソウム</t>
    </rPh>
    <rPh sb="3" eb="8">
      <t>ジンジトウカツブ</t>
    </rPh>
    <phoneticPr fontId="1"/>
  </si>
  <si>
    <t>\\10.100.1.232\oec1\LEVEL_C_UP\CU250_業務週報V2.0\2024年度\03_総務・人事統括部</t>
    <phoneticPr fontId="1"/>
  </si>
  <si>
    <t>経営戦略室</t>
    <rPh sb="4" eb="5">
      <t>シツ</t>
    </rPh>
    <phoneticPr fontId="1"/>
  </si>
  <si>
    <t>\\10.100.1.232\oec1\LEVEL_C_UP\CU250_業務週報V2.0\2024年度\04_経営戦略室</t>
    <phoneticPr fontId="1"/>
  </si>
  <si>
    <t>経営管理部</t>
  </si>
  <si>
    <t>\\10.100.1.232\oec1\LEVEL_C_UP\CU250_業務週報V2.0\2024年度\05_経営管理部</t>
    <phoneticPr fontId="1"/>
  </si>
  <si>
    <t>財務部</t>
  </si>
  <si>
    <t>\\10.100.1.232\oec1\LEVEL_C_UP\CU250_業務週報V2.0\2024年度\06_財務部</t>
    <phoneticPr fontId="1"/>
  </si>
  <si>
    <t>経営戦略・管理・財務統括部</t>
  </si>
  <si>
    <t>\\10.100.1.232\oec1\LEVEL_C_UP\CU250_業務週報V2.0\2024年度\07_経営戦略・管理・財務統括部</t>
    <phoneticPr fontId="1"/>
  </si>
  <si>
    <t>公共第1プロデュース部</t>
  </si>
  <si>
    <t>\\10.100.1.232\oec1\LEVEL_C_UP\CU250_業務週報V2.0\2024年度\08_公共第1プロデュース部</t>
    <phoneticPr fontId="1"/>
  </si>
  <si>
    <t>公共第2プロデュース部</t>
  </si>
  <si>
    <t>\\10.100.1.232\oec1\LEVEL_C_UP\CU250_業務週報V2.0\2024年度\09_公共第2プロデュース部</t>
    <phoneticPr fontId="1"/>
  </si>
  <si>
    <t>公共DX推進部</t>
  </si>
  <si>
    <t>\\10.100.1.232\oec1\LEVEL_C_UP\CU250_業務週報V2.0\2024年度\10_公共DX推進部</t>
    <phoneticPr fontId="1"/>
  </si>
  <si>
    <t>社会インフラサービス部</t>
    <phoneticPr fontId="1"/>
  </si>
  <si>
    <t>\\10.100.1.232\oec1\LEVEL_C_UP\CU250_業務週報V2.0\2024年度\11_社会インフラサービス部</t>
    <phoneticPr fontId="1"/>
  </si>
  <si>
    <t>公共ビジネス事業部</t>
  </si>
  <si>
    <t>\\10.100.1.232\oec1\LEVEL_C_UP\CU250_業務週報V2.0\2024年度\12_公共ビジネス事業部</t>
    <phoneticPr fontId="1"/>
  </si>
  <si>
    <t>ITサービスマネジメント部</t>
  </si>
  <si>
    <t>\\10.100.1.232\oec1\LEVEL_C_UP\CU250_業務週報V2.0\2024年度\13_ITサービスマネジメント部</t>
    <phoneticPr fontId="1"/>
  </si>
  <si>
    <t>標準化・ガバメントクラウド推進部</t>
  </si>
  <si>
    <t>\\10.100.1.232\oec1\LEVEL_C_UP\CU250_業務週報V2.0\2024年度\14_標準化・ガバメントクラウド推進部</t>
    <phoneticPr fontId="1"/>
  </si>
  <si>
    <t>ITサービス事業部</t>
  </si>
  <si>
    <t>\\10.100.1.232\oec1\LEVEL_C_UP\CU250_業務週報V2.0\2024年度\15_ITサービス事業部</t>
    <phoneticPr fontId="1"/>
  </si>
  <si>
    <t>DXビジネスプロデュース部</t>
  </si>
  <si>
    <t>\\10.100.1.232\oec1\LEVEL_C_UP\CU250_業務週報V2.0\2024年度\16_DXビジネスプロデュース部</t>
    <phoneticPr fontId="1"/>
  </si>
  <si>
    <t>九州ビジネスプロデュース部</t>
  </si>
  <si>
    <t>\\10.100.1.232\oec1\LEVEL_C_UP\CU250_業務週報V2.0\2024年度\17_九州ビジネスプロデュース部</t>
    <phoneticPr fontId="1"/>
  </si>
  <si>
    <t>DXビジネスソリューション部</t>
  </si>
  <si>
    <t>\\10.100.1.232\oec1\LEVEL_C_UP\CU250_業務週報V2.0\2024年度\18_DXビジネスソリューション部</t>
    <phoneticPr fontId="1"/>
  </si>
  <si>
    <t>システムサービス部</t>
  </si>
  <si>
    <t>\\10.100.1.232\oec1\LEVEL_C_UP\CU250_業務週報V2.0\2024年度\19_システムサービス部</t>
    <phoneticPr fontId="1"/>
  </si>
  <si>
    <t>DX・海外連携推進室</t>
  </si>
  <si>
    <t>\\10.100.1.232\oec1\LEVEL_C_UP\CU250_業務週報V2.0\2024年度\20_DX・海外連携推進室</t>
    <phoneticPr fontId="1"/>
  </si>
  <si>
    <t>DX推進部</t>
  </si>
  <si>
    <t>\\10.100.1.232\oec1\LEVEL_C_UP\CU250_業務週報V2.0\2024年度\21_DX推進部</t>
    <phoneticPr fontId="1"/>
  </si>
  <si>
    <t>DXプロデュース事業部</t>
  </si>
  <si>
    <t>\\10.100.1.232\oec1\LEVEL_C_UP\CU250_業務週報V2.0\2024年度\22_DXプロデュース事業部</t>
    <phoneticPr fontId="1"/>
  </si>
  <si>
    <t>ビジネスプロデュース部</t>
  </si>
  <si>
    <t>\\10.100.1.232\oec1\LEVEL_C_UP\CU250_業務週報V2.0\2024年度\24_ビジネスプロデュース部</t>
    <phoneticPr fontId="1"/>
  </si>
  <si>
    <t>インフラビジネス推進部</t>
    <phoneticPr fontId="1"/>
  </si>
  <si>
    <t>\\10.100.1.232\oec1\LEVEL_C_UP\CU250_業務週報V2.0\2024年度\25_インフラビジネス推進部</t>
    <phoneticPr fontId="1"/>
  </si>
  <si>
    <t>ビジネスプロデュース事業部</t>
  </si>
  <si>
    <t>\\10.100.1.232\oec1\LEVEL_C_UP\CU250_業務週報V2.0\2024年度\26_ビジネスプロデュース事業部</t>
    <phoneticPr fontId="1"/>
  </si>
  <si>
    <t>西日本支社</t>
  </si>
  <si>
    <t>\\10.100.1.232\oec1\LEVEL_C_UP\CU250_業務週報V2.0\2024年度\27_西日本支社</t>
    <phoneticPr fontId="1"/>
  </si>
  <si>
    <t>福岡支社</t>
  </si>
  <si>
    <t>\\10.100.1.232\oec1\LEVEL_C_UP\CU250_業務週報V2.0\2024年度\28_福岡支社</t>
    <phoneticPr fontId="1"/>
  </si>
  <si>
    <t>公共ソリューション部</t>
    <phoneticPr fontId="1"/>
  </si>
  <si>
    <t>\\10.100.1.232\oec1\LEVEL_C_UP\CU250_業務週報V2.0\2024年度\29_公共ソリューション部</t>
    <phoneticPr fontId="1"/>
  </si>
  <si>
    <t>ソリューション開発部</t>
  </si>
  <si>
    <t>\\10.100.1.232\oec1\LEVEL_C_UP\CU250_業務週報V2.0\2024年度\30_ソリューション開発部</t>
    <phoneticPr fontId="1"/>
  </si>
  <si>
    <t>公共ソリューション開発センター</t>
    <rPh sb="0" eb="2">
      <t>コウキョウ</t>
    </rPh>
    <rPh sb="9" eb="11">
      <t>カイハツ</t>
    </rPh>
    <phoneticPr fontId="1"/>
  </si>
  <si>
    <t>\\10.100.1.232\oec1\LEVEL_C_UP\CU250_業務週報V2.0\2024年度\31_公共ソリューション開発センター</t>
    <phoneticPr fontId="1"/>
  </si>
  <si>
    <t>システムプロデュース事業部</t>
    <rPh sb="10" eb="13">
      <t>ジギョウブ</t>
    </rPh>
    <phoneticPr fontId="1"/>
  </si>
  <si>
    <t>\\10.100.1.232\oec1\LEVEL_C_UP\CU250_業務週報V2.0\2024年度\32_システムプロデュース事業部</t>
    <phoneticPr fontId="1"/>
  </si>
  <si>
    <t>デジタルイノベーション推進部</t>
    <rPh sb="11" eb="14">
      <t>スイシンブ</t>
    </rPh>
    <phoneticPr fontId="1"/>
  </si>
  <si>
    <t>\\10.100.1.232\oec1\LEVEL_C_UP\CU250_業務週報V2.0\2024年度\33_デジタルイノベーション推進部</t>
    <phoneticPr fontId="1"/>
  </si>
  <si>
    <t>施設予約サービス部</t>
    <rPh sb="0" eb="4">
      <t>シセツヨヤク</t>
    </rPh>
    <rPh sb="8" eb="9">
      <t>ブ</t>
    </rPh>
    <phoneticPr fontId="1"/>
  </si>
  <si>
    <t>\\10.100.1.232\oec1\LEVEL_C_UP\CU250_業務週報V2.0\2024年度\34_施設予約サービス部</t>
    <phoneticPr fontId="1"/>
  </si>
  <si>
    <t>ソリューションサービス部</t>
  </si>
  <si>
    <t>\\10.100.1.232\oec1\LEVEL_C_UP\CU250_業務週報V2.0\2024年度\35_ソリューションサービス部</t>
    <phoneticPr fontId="1"/>
  </si>
  <si>
    <t>ソリューション事業部</t>
    <phoneticPr fontId="1"/>
  </si>
  <si>
    <t>\\10.100.1.232\oec1\LEVEL_C_UP\CU250_業務週報V2.0\2024年度\36_ソリューション事業部</t>
    <phoneticPr fontId="1"/>
  </si>
  <si>
    <t>東京本社マネジメント推進部</t>
  </si>
  <si>
    <t>\\10.100.1.232\oec1\LEVEL_C_UP\CU250_業務週報V2.0\2024年度\23_東京本社マネジメント推進部</t>
  </si>
  <si>
    <t>佐藤執行役員</t>
    <rPh sb="0" eb="2">
      <t>サトウ</t>
    </rPh>
    <rPh sb="2" eb="4">
      <t>シッコウ</t>
    </rPh>
    <rPh sb="4" eb="6">
      <t>ヤクイン</t>
    </rPh>
    <phoneticPr fontId="1"/>
  </si>
  <si>
    <t>\\10.100.1.232\oec1\LEVEL_C_UP\CU250_業務週報V2.0\2024年度\37_佐藤執行役員</t>
    <phoneticPr fontId="1"/>
  </si>
  <si>
    <t>中島常務執行役員</t>
    <rPh sb="0" eb="2">
      <t>ナカシマ</t>
    </rPh>
    <rPh sb="2" eb="4">
      <t>ジョウム</t>
    </rPh>
    <phoneticPr fontId="1"/>
  </si>
  <si>
    <t>\\10.100.1.232\oec1\LEVEL_C_UP\CU250_業務週報V2.0\2024年度\38_中島常務執行役員</t>
  </si>
  <si>
    <t>河野取締役</t>
    <rPh sb="0" eb="2">
      <t>カワノ</t>
    </rPh>
    <rPh sb="2" eb="5">
      <t>トリシマリヤク</t>
    </rPh>
    <phoneticPr fontId="1"/>
  </si>
  <si>
    <t>\\10.100.1.232\oec1\LEVEL_C_UP\CU250_業務週報V2.0\2024年度\39_河野取締役</t>
  </si>
  <si>
    <t>安東常務</t>
    <rPh sb="0" eb="4">
      <t>アンドウジョウム</t>
    </rPh>
    <phoneticPr fontId="1"/>
  </si>
  <si>
    <t>\\10.100.1.232\oec1\LEVEL_C_UP\CU250_業務週報V2.0\2024年度\40_安東常務</t>
    <phoneticPr fontId="1"/>
  </si>
  <si>
    <t>岡田常務</t>
    <rPh sb="0" eb="4">
      <t>オカダジョウム</t>
    </rPh>
    <phoneticPr fontId="1"/>
  </si>
  <si>
    <t>\\10.100.1.232\oec1\LEVEL_C_UP\CU250_業務週報V2.0\2024年度\41_岡田常務</t>
    <phoneticPr fontId="1"/>
  </si>
  <si>
    <t>加藤社長</t>
    <rPh sb="0" eb="4">
      <t>カトウシャチョウ</t>
    </rPh>
    <phoneticPr fontId="1"/>
  </si>
  <si>
    <t>\\10.100.1.232\oec1\LEVEL_C_UP\CU250_業務週報V2.0\2024年度\42_加藤社長</t>
  </si>
  <si>
    <t>月</t>
    <rPh sb="0" eb="1">
      <t>ゲツ</t>
    </rPh>
    <phoneticPr fontId="1"/>
  </si>
  <si>
    <t>火</t>
  </si>
  <si>
    <t>水</t>
  </si>
  <si>
    <t>木</t>
  </si>
  <si>
    <t>金</t>
  </si>
  <si>
    <t>土</t>
  </si>
  <si>
    <t>日</t>
  </si>
  <si>
    <t>祝日</t>
    <rPh sb="0" eb="2">
      <t>シュクジツ</t>
    </rPh>
    <phoneticPr fontId="1"/>
  </si>
  <si>
    <t>昭和の日</t>
  </si>
  <si>
    <t>憲法記念日</t>
  </si>
  <si>
    <t>みどりの日</t>
  </si>
  <si>
    <t>こどもの日</t>
  </si>
  <si>
    <t>休日</t>
  </si>
  <si>
    <t>海の日</t>
  </si>
  <si>
    <t>山の日</t>
  </si>
  <si>
    <t>敬老の日</t>
  </si>
  <si>
    <t>秋分の日</t>
  </si>
  <si>
    <t>スポーツの日</t>
  </si>
  <si>
    <t>文化の日</t>
  </si>
  <si>
    <t>勤労感謝の日</t>
  </si>
  <si>
    <t>元日</t>
  </si>
  <si>
    <t>成人の日</t>
  </si>
  <si>
    <t>建国記念の日</t>
  </si>
  <si>
    <t>天皇誕生日</t>
  </si>
  <si>
    <t>春分の日</t>
  </si>
  <si>
    <t>2024年度業務週報V2.0について</t>
    <rPh sb="4" eb="6">
      <t>ネンド</t>
    </rPh>
    <phoneticPr fontId="1"/>
  </si>
  <si>
    <t>目的</t>
    <phoneticPr fontId="1"/>
  </si>
  <si>
    <t>全社員に業務週報を一斉に共有し、情報のレベルを均一にする</t>
    <phoneticPr fontId="1"/>
  </si>
  <si>
    <t>部、事業部、役員から社員のみなさんに知ってもらいたいことを伝えるツールとする</t>
    <phoneticPr fontId="1"/>
  </si>
  <si>
    <t>社員は業務週報を確認し、その情報を有効活用する</t>
    <phoneticPr fontId="1"/>
  </si>
  <si>
    <t>背景</t>
    <rPh sb="0" eb="2">
      <t>ハイケイ</t>
    </rPh>
    <phoneticPr fontId="1"/>
  </si>
  <si>
    <t>経営会議の指示事項が社員に伝わらない</t>
    <phoneticPr fontId="1"/>
  </si>
  <si>
    <t>社員から他の部署が何をしているかわからないという意見が届いている</t>
    <phoneticPr fontId="1"/>
  </si>
  <si>
    <t>複数マネージャーから業務週報を公開してほしいと要望がある</t>
    <phoneticPr fontId="1"/>
  </si>
  <si>
    <t>公開対象</t>
    <rPh sb="0" eb="2">
      <t>コウカイ</t>
    </rPh>
    <rPh sb="2" eb="4">
      <t>タイショウ</t>
    </rPh>
    <phoneticPr fontId="1"/>
  </si>
  <si>
    <r>
      <t>全社員（</t>
    </r>
    <r>
      <rPr>
        <sz val="11"/>
        <color rgb="FFFF0000"/>
        <rFont val="Meiryo UI"/>
        <family val="3"/>
        <charset val="128"/>
      </rPr>
      <t>Excelで『お知らせ』に掲載　※各シートは保護しています</t>
    </r>
    <r>
      <rPr>
        <sz val="11"/>
        <color theme="1"/>
        <rFont val="Meiryo UI"/>
        <family val="3"/>
        <charset val="128"/>
      </rPr>
      <t>）</t>
    </r>
    <rPh sb="12" eb="13">
      <t>シ</t>
    </rPh>
    <rPh sb="17" eb="19">
      <t>ケイサイ</t>
    </rPh>
    <rPh sb="21" eb="22">
      <t>カク</t>
    </rPh>
    <rPh sb="26" eb="28">
      <t>ホゴ</t>
    </rPh>
    <phoneticPr fontId="1"/>
  </si>
  <si>
    <t>入力対象</t>
    <rPh sb="0" eb="2">
      <t>ニュウリョク</t>
    </rPh>
    <phoneticPr fontId="1"/>
  </si>
  <si>
    <t>各部、各事業部、役員、社長、更新権限はグループ長以上</t>
    <phoneticPr fontId="1"/>
  </si>
  <si>
    <t>ルール</t>
    <phoneticPr fontId="1"/>
  </si>
  <si>
    <t>①全社員に公開するため、関係者のみの情報や見積金額などは入力しないようお願いします。</t>
    <phoneticPr fontId="1"/>
  </si>
  <si>
    <t>　また、文字の縮小表示は禁止いたします。</t>
    <phoneticPr fontId="1"/>
  </si>
  <si>
    <t>②各部5行以内で記入をお願いします。但し、不足した場合は行を増やしていただいて構いません。</t>
    <rPh sb="1" eb="3">
      <t>カクブ</t>
    </rPh>
    <rPh sb="5" eb="7">
      <t>イナイ</t>
    </rPh>
    <rPh sb="8" eb="10">
      <t>キニュウ</t>
    </rPh>
    <rPh sb="12" eb="13">
      <t>ネガ</t>
    </rPh>
    <rPh sb="18" eb="19">
      <t>タダ</t>
    </rPh>
    <rPh sb="21" eb="23">
      <t>フソク</t>
    </rPh>
    <rPh sb="25" eb="27">
      <t>バアイ</t>
    </rPh>
    <rPh sb="39" eb="40">
      <t>カマ</t>
    </rPh>
    <phoneticPr fontId="1"/>
  </si>
  <si>
    <t>　補足欄と格納フォルダを準備していますので以下『シート説明』をご確認ください。</t>
    <rPh sb="21" eb="23">
      <t>イカ</t>
    </rPh>
    <rPh sb="27" eb="29">
      <t>セツメイ</t>
    </rPh>
    <rPh sb="32" eb="34">
      <t>カクニン</t>
    </rPh>
    <phoneticPr fontId="1"/>
  </si>
  <si>
    <t>③入力方法はOneDriveで行います。入力URLはグループ長以上に公開いたします。</t>
    <phoneticPr fontId="1"/>
  </si>
  <si>
    <r>
      <t>④</t>
    </r>
    <r>
      <rPr>
        <u/>
        <sz val="11"/>
        <color theme="1"/>
        <rFont val="Meiryo UI"/>
        <family val="3"/>
        <charset val="128"/>
      </rPr>
      <t>毎週金曜日（休みの場合は木曜日）の１７時までにシートを更新</t>
    </r>
    <r>
      <rPr>
        <sz val="11"/>
        <color theme="1"/>
        <rFont val="Meiryo UI"/>
        <family val="3"/>
        <charset val="128"/>
      </rPr>
      <t>し、各部で誤字脱字のチェックを行ってください。</t>
    </r>
    <rPh sb="1" eb="3">
      <t>マイシュウ</t>
    </rPh>
    <rPh sb="3" eb="6">
      <t>キンヨウビ</t>
    </rPh>
    <rPh sb="7" eb="8">
      <t>ヤス</t>
    </rPh>
    <rPh sb="10" eb="12">
      <t>バアイ</t>
    </rPh>
    <rPh sb="13" eb="16">
      <t>モクヨウビ</t>
    </rPh>
    <rPh sb="20" eb="21">
      <t>ジ</t>
    </rPh>
    <rPh sb="28" eb="30">
      <t>コウシン</t>
    </rPh>
    <rPh sb="32" eb="34">
      <t>カクブ</t>
    </rPh>
    <rPh sb="35" eb="39">
      <t>ゴジダツジ</t>
    </rPh>
    <rPh sb="45" eb="46">
      <t>オコナ</t>
    </rPh>
    <phoneticPr fontId="1"/>
  </si>
  <si>
    <t>　※経営管理部でのチェックは行いません、ご了承くださいますようお願いします。</t>
    <rPh sb="2" eb="4">
      <t>ケイエイ</t>
    </rPh>
    <rPh sb="4" eb="7">
      <t>カンリブ</t>
    </rPh>
    <rPh sb="14" eb="15">
      <t>オコナ</t>
    </rPh>
    <rPh sb="21" eb="23">
      <t>リョウショウ</t>
    </rPh>
    <rPh sb="32" eb="33">
      <t>ネガ</t>
    </rPh>
    <phoneticPr fontId="1"/>
  </si>
  <si>
    <t>　※共有事項が特にない場合は空白のままで問題ありません。</t>
    <rPh sb="2" eb="6">
      <t>キョウユウジコウ</t>
    </rPh>
    <rPh sb="7" eb="8">
      <t>トク</t>
    </rPh>
    <rPh sb="11" eb="13">
      <t>バアイ</t>
    </rPh>
    <rPh sb="14" eb="16">
      <t>クウハク</t>
    </rPh>
    <rPh sb="20" eb="22">
      <t>モンダイ</t>
    </rPh>
    <phoneticPr fontId="1"/>
  </si>
  <si>
    <t>⑤毎週月曜日（休みの場合は火曜日）の午後、経営管理部にて『お知らせ』に掲載いたします。</t>
    <rPh sb="21" eb="26">
      <t>ケイエイカンリブ</t>
    </rPh>
    <rPh sb="30" eb="31">
      <t>シ</t>
    </rPh>
    <rPh sb="35" eb="37">
      <t>ケイサイ</t>
    </rPh>
    <phoneticPr fontId="1"/>
  </si>
  <si>
    <r>
      <rPr>
        <sz val="11"/>
        <rFont val="Meiryo UI"/>
        <family val="3"/>
        <charset val="128"/>
      </rPr>
      <t>　　</t>
    </r>
    <r>
      <rPr>
        <u/>
        <sz val="11"/>
        <rFont val="Meiryo UI"/>
        <family val="3"/>
        <charset val="128"/>
      </rPr>
      <t>該当週のシートは締切１７時以降の更新はできませんので、期限内にご入力をお願いします。</t>
    </r>
    <rPh sb="2" eb="4">
      <t>ガイトウ</t>
    </rPh>
    <rPh sb="4" eb="5">
      <t>シュウ</t>
    </rPh>
    <rPh sb="10" eb="12">
      <t>シメキリ</t>
    </rPh>
    <rPh sb="14" eb="15">
      <t>ジ</t>
    </rPh>
    <rPh sb="15" eb="17">
      <t>イコウ</t>
    </rPh>
    <rPh sb="18" eb="20">
      <t>コウシン</t>
    </rPh>
    <rPh sb="29" eb="31">
      <t>キゲン</t>
    </rPh>
    <rPh sb="31" eb="32">
      <t>ナイ</t>
    </rPh>
    <rPh sb="34" eb="36">
      <t>ニュウリョク</t>
    </rPh>
    <rPh sb="38" eb="39">
      <t>ネガ</t>
    </rPh>
    <phoneticPr fontId="1"/>
  </si>
  <si>
    <t>　※経営管理部からの督促・確認等の連絡はいたしません、ご了承くださいますようお願いいたします。</t>
    <rPh sb="4" eb="7">
      <t>カンリブ</t>
    </rPh>
    <rPh sb="10" eb="12">
      <t>トクソク</t>
    </rPh>
    <rPh sb="13" eb="15">
      <t>カクニン</t>
    </rPh>
    <rPh sb="15" eb="16">
      <t>トウ</t>
    </rPh>
    <rPh sb="17" eb="19">
      <t>レンラク</t>
    </rPh>
    <rPh sb="28" eb="30">
      <t>リョウショウ</t>
    </rPh>
    <rPh sb="39" eb="40">
      <t>ネガ</t>
    </rPh>
    <phoneticPr fontId="1"/>
  </si>
  <si>
    <t>シート説明</t>
    <rPh sb="3" eb="5">
      <t>セツメイ</t>
    </rPh>
    <phoneticPr fontId="1"/>
  </si>
  <si>
    <t>『目次』シート</t>
    <rPh sb="1" eb="3">
      <t>モクジ</t>
    </rPh>
    <phoneticPr fontId="1"/>
  </si>
  <si>
    <t>『1』～『21』シート</t>
    <phoneticPr fontId="1"/>
  </si>
  <si>
    <t>●●●●年●●月●●日</t>
    <rPh sb="4" eb="5">
      <t>ネン</t>
    </rPh>
    <rPh sb="7" eb="8">
      <t>ツキ</t>
    </rPh>
    <rPh sb="10" eb="11">
      <t>ヒ</t>
    </rPh>
    <phoneticPr fontId="1"/>
  </si>
  <si>
    <t>補足ファイル
格納フォルダ</t>
    <rPh sb="0" eb="2">
      <t>ホソク</t>
    </rPh>
    <phoneticPr fontId="1"/>
  </si>
  <si>
    <t>・</t>
    <phoneticPr fontId="1"/>
  </si>
  <si>
    <t>不明点等ございましたら、経営管理部　田中（内線：5030008）までご連絡ください。</t>
    <rPh sb="0" eb="3">
      <t>フメイテン</t>
    </rPh>
    <rPh sb="3" eb="4">
      <t>トウ</t>
    </rPh>
    <rPh sb="12" eb="17">
      <t>ケイエイカンリブ</t>
    </rPh>
    <rPh sb="18" eb="20">
      <t>タナカ</t>
    </rPh>
    <rPh sb="21" eb="23">
      <t>ナイセン</t>
    </rPh>
    <rPh sb="35" eb="37">
      <t>レンラク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</si>
</sst>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F800]dddd\,\ mmmm\ dd\,\ yyyy"/>
    <numFmt numFmtId="178" formatCode="m&quot;月&quot;d&quot;日&quot;;@"/>
  </numFmts>
  <fonts count="55" x14ac:knownFonts="1">
    <font>
      <sz val="11"/>
      <color theme="1"/>
      <name val="游ゴシック"/>
      <family val="2"/>
      <charset val="128"/>
      <scheme val="minor"/>
    </font>
    <font>
      <sz val="6"/>
      <name val="游ゴシック"/>
      <family val="2"/>
      <charset val="128"/>
      <scheme val="minor"/>
    </font>
    <font>
      <sz val="6"/>
      <name val="ＭＳ Ｐゴシック"/>
      <family val="3"/>
      <charset val="128"/>
    </font>
    <font>
      <sz val="10"/>
      <color theme="1"/>
      <name val="Meiryo UI"/>
      <family val="3"/>
      <charset val="128"/>
    </font>
    <font>
      <u/>
      <sz val="11"/>
      <color theme="10"/>
      <name val="游ゴシック"/>
      <family val="2"/>
      <charset val="128"/>
      <scheme val="minor"/>
    </font>
    <font>
      <b/>
      <u/>
      <sz val="14"/>
      <color theme="10"/>
      <name val="Meiryo UI"/>
      <family val="3"/>
      <charset val="128"/>
    </font>
    <font>
      <b/>
      <sz val="16"/>
      <color theme="0"/>
      <name val="Meiryo UI"/>
      <family val="3"/>
      <charset val="128"/>
    </font>
    <font>
      <sz val="10"/>
      <color theme="0"/>
      <name val="Meiryo UI"/>
      <family val="3"/>
      <charset val="128"/>
    </font>
    <font>
      <u/>
      <sz val="11"/>
      <color theme="10"/>
      <name val="Meiryo UI"/>
      <family val="3"/>
      <charset val="128"/>
    </font>
    <font>
      <sz val="11"/>
      <color theme="1"/>
      <name val="Meiryo UI"/>
      <family val="3"/>
      <charset val="128"/>
    </font>
    <font>
      <b/>
      <sz val="11"/>
      <color theme="1"/>
      <name val="Meiryo UI"/>
      <family val="3"/>
      <charset val="128"/>
    </font>
    <font>
      <sz val="11"/>
      <name val="Meiryo UI"/>
      <family val="3"/>
      <charset val="128"/>
    </font>
    <font>
      <sz val="14"/>
      <color theme="1"/>
      <name val="Meiryo UI"/>
      <family val="3"/>
      <charset val="128"/>
    </font>
    <font>
      <b/>
      <sz val="16"/>
      <name val="Meiryo UI"/>
      <family val="3"/>
      <charset val="128"/>
    </font>
    <font>
      <b/>
      <sz val="14"/>
      <color theme="1"/>
      <name val="Meiryo UI"/>
      <family val="3"/>
      <charset val="128"/>
    </font>
    <font>
      <sz val="11"/>
      <color theme="0"/>
      <name val="Meiryo UI"/>
      <family val="3"/>
      <charset val="128"/>
    </font>
    <font>
      <sz val="12"/>
      <color theme="1"/>
      <name val="Meiryo UI"/>
      <family val="3"/>
      <charset val="128"/>
    </font>
    <font>
      <u/>
      <sz val="12"/>
      <color theme="10"/>
      <name val="Meiryo UI"/>
      <family val="3"/>
      <charset val="128"/>
    </font>
    <font>
      <b/>
      <u/>
      <sz val="14"/>
      <color theme="0"/>
      <name val="Meiryo UI"/>
      <family val="3"/>
      <charset val="128"/>
    </font>
    <font>
      <sz val="11"/>
      <color rgb="FFFF0000"/>
      <name val="Meiryo UI"/>
      <family val="3"/>
      <charset val="128"/>
    </font>
    <font>
      <u/>
      <sz val="10"/>
      <color theme="10"/>
      <name val="Meiryo UI"/>
      <family val="3"/>
      <charset val="128"/>
    </font>
    <font>
      <b/>
      <sz val="11"/>
      <color theme="0"/>
      <name val="Meiryo UI"/>
      <family val="3"/>
      <charset val="128"/>
    </font>
    <font>
      <b/>
      <sz val="18"/>
      <color theme="1"/>
      <name val="Meiryo UI"/>
      <family val="3"/>
      <charset val="128"/>
    </font>
    <font>
      <b/>
      <sz val="11"/>
      <name val="Meiryo UI"/>
      <family val="3"/>
      <charset val="128"/>
    </font>
    <font>
      <u/>
      <sz val="11"/>
      <color theme="1"/>
      <name val="Meiryo UI"/>
      <family val="3"/>
      <charset val="128"/>
    </font>
    <font>
      <u/>
      <sz val="11"/>
      <name val="Meiryo UI"/>
      <family val="3"/>
      <charset val="128"/>
    </font>
    <font>
      <b/>
      <sz val="11"/>
      <color rgb="FFFF0000"/>
      <name val="Meiryo UI"/>
      <family val="3"/>
      <charset val="128"/>
    </font>
    <font>
      <b/>
      <sz val="12"/>
      <color rgb="FF0033CC"/>
      <name val="Meiryo UI"/>
      <family val="3"/>
      <charset val="128"/>
    </font>
    <font>
      <sz val="11"/>
      <color rgb="FF000000"/>
      <name val="Meiryo UI"/>
      <family val="3"/>
      <charset val="128"/>
    </font>
    <font>
      <sz val="11"/>
      <color theme="1"/>
      <name val="游ゴシック"/>
      <family val="2"/>
      <charset val="128"/>
      <scheme val="minor"/>
    </font>
    <font>
      <b/>
      <sz val="10"/>
      <color theme="1"/>
      <name val="Meiryo UI"/>
      <family val="3"/>
      <charset val="128"/>
    </font>
    <font>
      <sz val="11"/>
      <color theme="1"/>
      <name val="Meiryo UI"/>
      <family val="3"/>
    </font>
    <font>
      <sz val="10.5"/>
      <name val="Meiryo UI"/>
      <family val="3"/>
      <charset val="128"/>
    </font>
    <font>
      <sz val="11"/>
      <color rgb="FF000000"/>
      <name val="Meiryo UI"/>
      <family val="3"/>
      <charset val="128"/>
    </font>
    <font>
      <sz val="11"/>
      <color rgb="FF00B0F0"/>
      <name val="Meiryo UI"/>
      <family val="3"/>
      <charset val="128"/>
    </font>
    <font>
      <sz val="11"/>
      <color rgb="FF000000"/>
      <name val="Meiryo UI"/>
      <family val="3"/>
    </font>
    <font>
      <sz val="11"/>
      <color theme="1"/>
      <name val="Meiryo UI"/>
      <family val="3"/>
      <charset val="128"/>
    </font>
    <font>
      <sz val="11"/>
      <color rgb="FF000000"/>
      <name val="Meiryo UI"/>
      <family val="3"/>
      <charset val="128"/>
    </font>
    <font>
      <sz val="11"/>
      <color rgb="FFFF0000"/>
      <name val="Meiryo UI"/>
      <family val="3"/>
      <charset val="128"/>
    </font>
    <font>
      <sz val="10.5"/>
      <color theme="1"/>
      <name val="Meiryo UI"/>
      <family val="3"/>
      <charset val="128"/>
    </font>
    <font>
      <u/>
      <sz val="11"/>
      <color theme="10"/>
      <name val="メイリオ"/>
      <family val="3"/>
      <charset val="128"/>
    </font>
    <font>
      <sz val="10.5"/>
      <color rgb="FF000000"/>
      <name val="Meiryo UI"/>
      <family val="3"/>
      <charset val="128"/>
    </font>
    <font>
      <u/>
      <sz val="9"/>
      <color theme="10"/>
      <name val="メイリオ"/>
      <family val="3"/>
      <charset val="128"/>
    </font>
    <font>
      <sz val="10.5"/>
      <color rgb="FF000000"/>
      <name val="Meiryo UI"/>
      <family val="3"/>
    </font>
    <font>
      <sz val="10"/>
      <color rgb="FF000000"/>
      <name val="Meiryo UI"/>
      <family val="3"/>
      <charset val="128"/>
    </font>
    <font>
      <sz val="11"/>
      <name val="Meiryo UI"/>
      <family val="3"/>
    </font>
    <font>
      <sz val="9"/>
      <color rgb="FF000000"/>
      <name val="Meiryo UI"/>
      <family val="3"/>
      <charset val="128"/>
    </font>
    <font>
      <sz val="12"/>
      <color theme="1"/>
      <name val="Meiryo UI"/>
      <family val="3"/>
    </font>
    <font>
      <u/>
      <sz val="11"/>
      <color theme="10"/>
      <name val="Meiryo UI"/>
      <family val="3"/>
    </font>
    <font>
      <u/>
      <sz val="8"/>
      <color theme="10"/>
      <name val="游ゴシック"/>
      <family val="2"/>
      <charset val="128"/>
      <scheme val="minor"/>
    </font>
    <font>
      <sz val="8"/>
      <name val="Meiryo UI"/>
      <family val="3"/>
      <charset val="128"/>
    </font>
    <font>
      <sz val="11"/>
      <color rgb="FF222222"/>
      <name val="メイリオ"/>
      <family val="3"/>
      <charset val="128"/>
    </font>
    <font>
      <sz val="11"/>
      <color rgb="FF0070C0"/>
      <name val="Meiryo UI"/>
      <family val="3"/>
      <charset val="128"/>
    </font>
    <font>
      <sz val="11"/>
      <color rgb="FF0066CC"/>
      <name val="Meiryo UI"/>
      <family val="3"/>
      <charset val="128"/>
    </font>
    <font>
      <u/>
      <sz val="11"/>
      <color theme="10"/>
      <name val="游ゴシック"/>
      <family val="2"/>
      <scheme val="minor"/>
    </font>
  </fonts>
  <fills count="7">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1"/>
        <bgColor indexed="64"/>
      </patternFill>
    </fill>
    <fill>
      <patternFill patternType="solid">
        <fgColor rgb="FF0033CC"/>
        <bgColor indexed="64"/>
      </patternFill>
    </fill>
    <fill>
      <patternFill patternType="solid">
        <fgColor theme="8" tint="0.79998168889431442"/>
        <bgColor indexed="64"/>
      </patternFill>
    </fill>
  </fills>
  <borders count="75">
    <border>
      <left/>
      <right/>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bottom/>
      <diagonal/>
    </border>
    <border>
      <left style="hair">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hair">
        <color indexed="64"/>
      </left>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bottom/>
      <diagonal/>
    </border>
    <border>
      <left style="hair">
        <color indexed="64"/>
      </left>
      <right style="medium">
        <color indexed="64"/>
      </right>
      <top/>
      <bottom style="thin">
        <color indexed="64"/>
      </bottom>
      <diagonal/>
    </border>
    <border>
      <left style="hair">
        <color indexed="64"/>
      </left>
      <right style="medium">
        <color indexed="64"/>
      </right>
      <top style="thin">
        <color indexed="64"/>
      </top>
      <bottom/>
      <diagonal/>
    </border>
    <border>
      <left style="hair">
        <color indexed="64"/>
      </left>
      <right style="medium">
        <color indexed="64"/>
      </right>
      <top/>
      <bottom style="medium">
        <color indexed="64"/>
      </bottom>
      <diagonal/>
    </border>
    <border>
      <left style="thin">
        <color indexed="64"/>
      </left>
      <right style="hair">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right/>
      <top style="medium">
        <color indexed="64"/>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thin">
        <color auto="1"/>
      </top>
      <bottom/>
      <diagonal/>
    </border>
    <border>
      <left/>
      <right style="thin">
        <color rgb="FF000000"/>
      </right>
      <top style="thin">
        <color indexed="64"/>
      </top>
      <bottom/>
      <diagonal/>
    </border>
    <border>
      <left/>
      <right style="thin">
        <color rgb="FF000000"/>
      </right>
      <top/>
      <bottom/>
      <diagonal/>
    </border>
    <border>
      <left/>
      <right style="thin">
        <color rgb="FF000000"/>
      </right>
      <top/>
      <bottom style="thin">
        <color auto="1"/>
      </bottom>
      <diagonal/>
    </border>
    <border>
      <left style="thin">
        <color rgb="FF000000"/>
      </left>
      <right style="thin">
        <color rgb="FF000000"/>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000000"/>
      </left>
      <right style="thin">
        <color rgb="FF000000"/>
      </right>
      <top/>
      <bottom/>
      <diagonal/>
    </border>
    <border>
      <left style="thin">
        <color indexed="64"/>
      </left>
      <right style="thin">
        <color indexed="64"/>
      </right>
      <top/>
      <bottom style="thin">
        <color indexed="64"/>
      </bottom>
      <diagonal/>
    </border>
    <border>
      <left style="dotted">
        <color rgb="FF000000"/>
      </left>
      <right style="medium">
        <color indexed="64"/>
      </right>
      <top/>
      <bottom style="thin">
        <color indexed="64"/>
      </bottom>
      <diagonal/>
    </border>
    <border>
      <left style="dotted">
        <color rgb="FF000000"/>
      </left>
      <right style="medium">
        <color rgb="FF000000"/>
      </right>
      <top style="thin">
        <color indexed="64"/>
      </top>
      <bottom/>
      <diagonal/>
    </border>
    <border>
      <left style="dotted">
        <color rgb="FF000000"/>
      </left>
      <right style="medium">
        <color rgb="FF000000"/>
      </right>
      <top/>
      <bottom/>
      <diagonal/>
    </border>
    <border>
      <left style="dotted">
        <color rgb="FF000000"/>
      </left>
      <right style="medium">
        <color rgb="FF000000"/>
      </right>
      <top/>
      <bottom style="thin">
        <color indexed="64"/>
      </bottom>
      <diagonal/>
    </border>
    <border>
      <left/>
      <right style="thin">
        <color rgb="FF000000"/>
      </right>
      <top/>
      <bottom style="thin">
        <color rgb="FF000000"/>
      </bottom>
      <diagonal/>
    </border>
    <border>
      <left style="medium">
        <color rgb="FF000000"/>
      </left>
      <right/>
      <top/>
      <bottom/>
      <diagonal/>
    </border>
    <border>
      <left style="medium">
        <color rgb="FF000000"/>
      </left>
      <right style="thin">
        <color rgb="FF000000"/>
      </right>
      <top/>
      <bottom style="thin">
        <color rgb="FF000000"/>
      </bottom>
      <diagonal/>
    </border>
  </borders>
  <cellStyleXfs count="4">
    <xf numFmtId="0" fontId="0" fillId="0" borderId="0">
      <alignment vertical="center"/>
    </xf>
    <xf numFmtId="0" fontId="4" fillId="0" borderId="0" applyNumberFormat="0" applyFill="0" applyBorder="0" applyAlignment="0" applyProtection="0">
      <alignment vertical="center"/>
    </xf>
    <xf numFmtId="38" fontId="29" fillId="0" borderId="0" applyFont="0" applyFill="0" applyBorder="0" applyAlignment="0" applyProtection="0">
      <alignment vertical="center"/>
    </xf>
    <xf numFmtId="0" fontId="4" fillId="0" borderId="0" applyNumberFormat="0" applyFill="0" applyBorder="0" applyAlignment="0" applyProtection="0">
      <alignment vertical="center"/>
    </xf>
  </cellStyleXfs>
  <cellXfs count="238">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center" vertical="center"/>
    </xf>
    <xf numFmtId="56" fontId="3" fillId="0" borderId="1" xfId="0" applyNumberFormat="1" applyFont="1" applyBorder="1" applyAlignment="1">
      <alignment horizontal="right" vertical="center"/>
    </xf>
    <xf numFmtId="0" fontId="3" fillId="3" borderId="3" xfId="0" applyFont="1" applyFill="1" applyBorder="1" applyAlignment="1">
      <alignment horizontal="center" vertical="center"/>
    </xf>
    <xf numFmtId="0" fontId="6" fillId="4" borderId="5" xfId="0" applyFont="1" applyFill="1" applyBorder="1" applyAlignment="1">
      <alignment horizontal="centerContinuous" vertical="center"/>
    </xf>
    <xf numFmtId="0" fontId="6" fillId="4" borderId="6" xfId="0" applyFont="1" applyFill="1" applyBorder="1" applyAlignment="1">
      <alignment horizontal="centerContinuous" vertical="center"/>
    </xf>
    <xf numFmtId="0" fontId="7" fillId="4" borderId="6" xfId="0" applyFont="1" applyFill="1" applyBorder="1" applyAlignment="1">
      <alignment horizontal="centerContinuous" vertical="center"/>
    </xf>
    <xf numFmtId="0" fontId="7" fillId="4" borderId="7" xfId="0" applyFont="1" applyFill="1" applyBorder="1" applyAlignment="1">
      <alignment horizontal="centerContinuous" vertical="center"/>
    </xf>
    <xf numFmtId="0" fontId="9" fillId="0" borderId="0" xfId="0" applyFont="1" applyAlignment="1">
      <alignment horizontal="center" vertical="center"/>
    </xf>
    <xf numFmtId="0" fontId="9" fillId="0" borderId="0" xfId="0" applyFont="1">
      <alignment vertical="center"/>
    </xf>
    <xf numFmtId="0" fontId="10" fillId="0" borderId="0" xfId="0" applyFont="1" applyAlignment="1">
      <alignment horizontal="center" vertical="center"/>
    </xf>
    <xf numFmtId="0" fontId="11" fillId="0" borderId="0" xfId="1" applyFont="1" applyFill="1">
      <alignment vertical="center"/>
    </xf>
    <xf numFmtId="0" fontId="9" fillId="0" borderId="12" xfId="0" applyFont="1" applyBorder="1">
      <alignment vertical="center"/>
    </xf>
    <xf numFmtId="0" fontId="8" fillId="0" borderId="13" xfId="1" applyFont="1" applyBorder="1" applyAlignment="1">
      <alignment vertical="center" shrinkToFit="1"/>
    </xf>
    <xf numFmtId="0" fontId="9" fillId="0" borderId="14" xfId="0" applyFont="1" applyBorder="1">
      <alignment vertical="center"/>
    </xf>
    <xf numFmtId="0" fontId="8" fillId="0" borderId="15" xfId="1" applyFont="1" applyBorder="1" applyAlignment="1">
      <alignment vertical="center" shrinkToFit="1"/>
    </xf>
    <xf numFmtId="0" fontId="9" fillId="0" borderId="16" xfId="0" applyFont="1" applyBorder="1">
      <alignment vertical="center"/>
    </xf>
    <xf numFmtId="0" fontId="9" fillId="0" borderId="0" xfId="0" applyFont="1" applyAlignment="1">
      <alignment horizontal="right" vertical="center"/>
    </xf>
    <xf numFmtId="0" fontId="9" fillId="0" borderId="14" xfId="0" applyFont="1" applyBorder="1" applyAlignment="1">
      <alignment vertical="center" wrapText="1"/>
    </xf>
    <xf numFmtId="0" fontId="9" fillId="3" borderId="10" xfId="0" applyFont="1" applyFill="1" applyBorder="1" applyAlignment="1">
      <alignment horizontal="center" vertical="center"/>
    </xf>
    <xf numFmtId="0" fontId="9" fillId="3" borderId="11" xfId="0" applyFont="1" applyFill="1" applyBorder="1" applyAlignment="1">
      <alignment horizontal="center" vertical="center" shrinkToFit="1"/>
    </xf>
    <xf numFmtId="0" fontId="9" fillId="3" borderId="0" xfId="0" applyFont="1" applyFill="1" applyAlignment="1">
      <alignment horizontal="right" vertical="center"/>
    </xf>
    <xf numFmtId="0" fontId="9" fillId="3" borderId="0" xfId="0" applyFont="1" applyFill="1">
      <alignment vertical="center"/>
    </xf>
    <xf numFmtId="0" fontId="9" fillId="0" borderId="0" xfId="0" applyFont="1" applyAlignment="1">
      <alignment vertical="center" shrinkToFit="1"/>
    </xf>
    <xf numFmtId="0" fontId="15" fillId="0" borderId="0" xfId="0" applyFont="1">
      <alignment vertical="center"/>
    </xf>
    <xf numFmtId="0" fontId="15" fillId="3" borderId="0" xfId="0" applyFont="1" applyFill="1" applyAlignment="1">
      <alignment horizontal="right" vertical="center"/>
    </xf>
    <xf numFmtId="0" fontId="15" fillId="3" borderId="0" xfId="0" applyFont="1" applyFill="1">
      <alignment vertical="center"/>
    </xf>
    <xf numFmtId="0" fontId="9" fillId="0" borderId="0" xfId="0" applyFont="1" applyAlignment="1">
      <alignment horizontal="center" vertical="center" shrinkToFit="1"/>
    </xf>
    <xf numFmtId="0" fontId="9" fillId="0" borderId="0" xfId="0" applyFont="1" applyAlignment="1">
      <alignment horizontal="right" vertical="center" shrinkToFit="1"/>
    </xf>
    <xf numFmtId="0" fontId="9" fillId="3" borderId="0" xfId="0" applyFont="1" applyFill="1" applyAlignment="1">
      <alignment horizontal="center" vertical="center"/>
    </xf>
    <xf numFmtId="0" fontId="16" fillId="2" borderId="24" xfId="0" applyFont="1" applyFill="1" applyBorder="1" applyAlignment="1">
      <alignment horizontal="center" vertical="center"/>
    </xf>
    <xf numFmtId="0" fontId="16" fillId="2" borderId="25" xfId="0" applyFont="1" applyFill="1" applyBorder="1" applyAlignment="1">
      <alignment horizontal="center" vertical="center" shrinkToFit="1"/>
    </xf>
    <xf numFmtId="0" fontId="16" fillId="2" borderId="17" xfId="0" applyFont="1" applyFill="1" applyBorder="1" applyAlignment="1">
      <alignment horizontal="center" vertical="center" wrapText="1" shrinkToFit="1"/>
    </xf>
    <xf numFmtId="0" fontId="16" fillId="2" borderId="18" xfId="0" applyFont="1" applyFill="1" applyBorder="1" applyAlignment="1">
      <alignment horizontal="centerContinuous" vertical="center" shrinkToFit="1"/>
    </xf>
    <xf numFmtId="0" fontId="12" fillId="0" borderId="29" xfId="0" applyFont="1" applyBorder="1" applyAlignment="1">
      <alignment horizontal="center" vertical="center" shrinkToFit="1"/>
    </xf>
    <xf numFmtId="0" fontId="17" fillId="0" borderId="8" xfId="1" applyFont="1" applyBorder="1" applyAlignment="1">
      <alignment horizontal="center" vertical="center" shrinkToFit="1"/>
    </xf>
    <xf numFmtId="0" fontId="11" fillId="0" borderId="19" xfId="1" applyFont="1" applyBorder="1" applyAlignment="1">
      <alignment vertical="center" shrinkToFit="1"/>
    </xf>
    <xf numFmtId="0" fontId="11" fillId="0" borderId="19" xfId="0" applyFont="1" applyBorder="1" applyAlignment="1">
      <alignment vertical="center" shrinkToFit="1"/>
    </xf>
    <xf numFmtId="0" fontId="16" fillId="0" borderId="8" xfId="0" applyFont="1" applyBorder="1" applyAlignment="1">
      <alignment horizontal="center" vertical="center" shrinkToFit="1"/>
    </xf>
    <xf numFmtId="14" fontId="12" fillId="0" borderId="30" xfId="0" applyNumberFormat="1" applyFont="1" applyBorder="1" applyAlignment="1">
      <alignment horizontal="center" vertical="center" shrinkToFit="1"/>
    </xf>
    <xf numFmtId="0" fontId="16" fillId="0" borderId="9" xfId="0" applyFont="1" applyBorder="1" applyAlignment="1">
      <alignment horizontal="center" vertical="center" shrinkToFit="1"/>
    </xf>
    <xf numFmtId="0" fontId="11" fillId="0" borderId="20" xfId="0" applyFont="1" applyBorder="1" applyAlignment="1">
      <alignment vertical="center" shrinkToFit="1"/>
    </xf>
    <xf numFmtId="0" fontId="12" fillId="0" borderId="31" xfId="0" applyFont="1" applyBorder="1" applyAlignment="1">
      <alignment horizontal="center" vertical="center" shrinkToFit="1"/>
    </xf>
    <xf numFmtId="0" fontId="11" fillId="0" borderId="21" xfId="0" applyFont="1" applyBorder="1" applyAlignment="1">
      <alignment vertical="center" shrinkToFit="1"/>
    </xf>
    <xf numFmtId="0" fontId="8" fillId="0" borderId="8" xfId="1" applyFont="1" applyBorder="1" applyAlignment="1">
      <alignment horizontal="center" vertical="center" shrinkToFit="1"/>
    </xf>
    <xf numFmtId="0" fontId="12" fillId="0" borderId="30" xfId="0" applyFont="1" applyBorder="1" applyAlignment="1">
      <alignment horizontal="center" vertical="center" shrinkToFit="1"/>
    </xf>
    <xf numFmtId="0" fontId="12" fillId="0" borderId="32" xfId="0" applyFont="1" applyBorder="1" applyAlignment="1">
      <alignment horizontal="center" vertical="center" shrinkToFit="1"/>
    </xf>
    <xf numFmtId="0" fontId="16" fillId="0" borderId="23" xfId="0" applyFont="1" applyBorder="1" applyAlignment="1">
      <alignment horizontal="center" vertical="center" shrinkToFit="1"/>
    </xf>
    <xf numFmtId="0" fontId="11" fillId="0" borderId="22" xfId="0" applyFont="1" applyBorder="1" applyAlignment="1">
      <alignment vertical="center" shrinkToFit="1"/>
    </xf>
    <xf numFmtId="0" fontId="18" fillId="4" borderId="0" xfId="1" applyFont="1" applyFill="1" applyAlignment="1">
      <alignment horizontal="center" vertical="center" shrinkToFit="1"/>
    </xf>
    <xf numFmtId="0" fontId="19" fillId="0" borderId="0" xfId="0" applyFont="1" applyAlignment="1">
      <alignment vertical="center" shrinkToFit="1"/>
    </xf>
    <xf numFmtId="0" fontId="11" fillId="0" borderId="0" xfId="0" applyFont="1">
      <alignment vertical="center"/>
    </xf>
    <xf numFmtId="0" fontId="3" fillId="0" borderId="35" xfId="0" applyFont="1" applyBorder="1">
      <alignment vertical="center"/>
    </xf>
    <xf numFmtId="0" fontId="3" fillId="3" borderId="36" xfId="0" applyFont="1" applyFill="1" applyBorder="1" applyAlignment="1">
      <alignment horizontal="center" vertical="center"/>
    </xf>
    <xf numFmtId="0" fontId="5" fillId="0" borderId="37" xfId="1" quotePrefix="1" applyFont="1" applyBorder="1" applyAlignment="1">
      <alignment horizontal="center" vertical="center"/>
    </xf>
    <xf numFmtId="56" fontId="3" fillId="0" borderId="38" xfId="0" applyNumberFormat="1" applyFont="1" applyBorder="1" applyAlignment="1">
      <alignment horizontal="right" vertical="center"/>
    </xf>
    <xf numFmtId="0" fontId="3" fillId="0" borderId="38" xfId="0" applyFont="1" applyBorder="1" applyAlignment="1">
      <alignment horizontal="center" vertical="center"/>
    </xf>
    <xf numFmtId="0" fontId="5" fillId="0" borderId="39" xfId="1" quotePrefix="1" applyFont="1" applyBorder="1" applyAlignment="1">
      <alignment horizontal="center" vertical="center"/>
    </xf>
    <xf numFmtId="56" fontId="12" fillId="0" borderId="41" xfId="0" applyNumberFormat="1" applyFont="1" applyBorder="1" applyAlignment="1">
      <alignment horizontal="center" vertical="center"/>
    </xf>
    <xf numFmtId="56" fontId="12" fillId="0" borderId="42" xfId="0" applyNumberFormat="1" applyFont="1" applyBorder="1" applyAlignment="1">
      <alignment horizontal="center" vertical="center"/>
    </xf>
    <xf numFmtId="0" fontId="3" fillId="3" borderId="43" xfId="0" applyFont="1" applyFill="1" applyBorder="1" applyAlignment="1">
      <alignment horizontal="center" vertical="center"/>
    </xf>
    <xf numFmtId="56" fontId="3" fillId="0" borderId="44" xfId="0" applyNumberFormat="1" applyFont="1" applyBorder="1" applyAlignment="1">
      <alignment horizontal="right" vertical="center"/>
    </xf>
    <xf numFmtId="56" fontId="3" fillId="0" borderId="45" xfId="0" applyNumberFormat="1" applyFont="1" applyBorder="1" applyAlignment="1">
      <alignment horizontal="right" vertical="center"/>
    </xf>
    <xf numFmtId="0" fontId="3" fillId="2" borderId="25" xfId="0" applyFont="1" applyFill="1" applyBorder="1" applyAlignment="1">
      <alignment horizontal="center" vertical="center" shrinkToFit="1"/>
    </xf>
    <xf numFmtId="0" fontId="3" fillId="2" borderId="17" xfId="0" applyFont="1" applyFill="1" applyBorder="1" applyAlignment="1">
      <alignment horizontal="center" vertical="center" wrapText="1" shrinkToFit="1"/>
    </xf>
    <xf numFmtId="0" fontId="3" fillId="2" borderId="18" xfId="0" applyFont="1" applyFill="1" applyBorder="1" applyAlignment="1">
      <alignment horizontal="centerContinuous" vertical="center" shrinkToFit="1"/>
    </xf>
    <xf numFmtId="0" fontId="20" fillId="0" borderId="27" xfId="1" applyFont="1" applyFill="1" applyBorder="1" applyAlignment="1">
      <alignment vertical="center" shrinkToFit="1"/>
    </xf>
    <xf numFmtId="0" fontId="20" fillId="0" borderId="33" xfId="1" applyFont="1" applyFill="1" applyBorder="1" applyAlignment="1">
      <alignment horizontal="center" vertical="center" shrinkToFit="1"/>
    </xf>
    <xf numFmtId="0" fontId="3" fillId="0" borderId="21" xfId="0" applyFont="1" applyBorder="1" applyAlignment="1">
      <alignment vertical="center" shrinkToFit="1"/>
    </xf>
    <xf numFmtId="0" fontId="3" fillId="0" borderId="26" xfId="0" applyFont="1" applyBorder="1" applyAlignment="1">
      <alignment vertical="center" shrinkToFit="1"/>
    </xf>
    <xf numFmtId="0" fontId="3" fillId="0" borderId="34" xfId="0" applyFont="1" applyBorder="1" applyAlignment="1">
      <alignment vertical="center" shrinkToFit="1"/>
    </xf>
    <xf numFmtId="0" fontId="3" fillId="0" borderId="19"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3" fillId="0" borderId="20" xfId="0" applyFont="1" applyBorder="1" applyAlignment="1">
      <alignment vertical="center" shrinkToFit="1"/>
    </xf>
    <xf numFmtId="0" fontId="3" fillId="0" borderId="27" xfId="0" applyFont="1" applyBorder="1" applyAlignment="1">
      <alignment vertical="center" shrinkToFit="1"/>
    </xf>
    <xf numFmtId="0" fontId="10" fillId="0" borderId="0" xfId="0" applyFont="1">
      <alignment vertical="center"/>
    </xf>
    <xf numFmtId="0" fontId="10" fillId="0" borderId="0" xfId="0" applyFont="1" applyAlignment="1">
      <alignment vertical="center" shrinkToFit="1"/>
    </xf>
    <xf numFmtId="0" fontId="3" fillId="2" borderId="5" xfId="0" applyFont="1" applyFill="1" applyBorder="1" applyAlignment="1">
      <alignment horizontal="centerContinuous" vertical="center"/>
    </xf>
    <xf numFmtId="0" fontId="3" fillId="0" borderId="46" xfId="0" applyFont="1" applyBorder="1" applyAlignment="1">
      <alignment horizontal="centerContinuous" vertical="center"/>
    </xf>
    <xf numFmtId="0" fontId="3" fillId="0" borderId="47" xfId="0" applyFont="1" applyBorder="1" applyAlignment="1">
      <alignment horizontal="centerContinuous" vertical="center"/>
    </xf>
    <xf numFmtId="14" fontId="3" fillId="0" borderId="43" xfId="0" applyNumberFormat="1" applyFont="1" applyBorder="1" applyAlignment="1">
      <alignment horizontal="centerContinuous" vertical="center"/>
    </xf>
    <xf numFmtId="0" fontId="3" fillId="2" borderId="7" xfId="0" applyFont="1" applyFill="1" applyBorder="1" applyAlignment="1">
      <alignment horizontal="centerContinuous" vertical="center"/>
    </xf>
    <xf numFmtId="0" fontId="3" fillId="0" borderId="48" xfId="0" applyFont="1" applyBorder="1" applyAlignment="1">
      <alignment horizontal="centerContinuous" vertical="center"/>
    </xf>
    <xf numFmtId="0" fontId="3" fillId="0" borderId="49" xfId="0" applyFont="1" applyBorder="1" applyAlignment="1">
      <alignment horizontal="centerContinuous" vertical="center"/>
    </xf>
    <xf numFmtId="14" fontId="3" fillId="0" borderId="36" xfId="0" applyNumberFormat="1" applyFont="1" applyBorder="1" applyAlignment="1">
      <alignment horizontal="centerContinuous" vertical="center"/>
    </xf>
    <xf numFmtId="0" fontId="11" fillId="0" borderId="0" xfId="0" applyFont="1" applyAlignment="1">
      <alignment horizontal="center" vertical="center"/>
    </xf>
    <xf numFmtId="0" fontId="14" fillId="0" borderId="0" xfId="0" applyFont="1">
      <alignment vertical="center"/>
    </xf>
    <xf numFmtId="0" fontId="3" fillId="0" borderId="43" xfId="0" applyFont="1" applyBorder="1" applyAlignment="1">
      <alignment horizontal="centerContinuous" vertical="center"/>
    </xf>
    <xf numFmtId="0" fontId="3" fillId="0" borderId="36" xfId="0" applyFont="1" applyBorder="1" applyAlignment="1">
      <alignment horizontal="centerContinuous" vertical="center"/>
    </xf>
    <xf numFmtId="0" fontId="9" fillId="0" borderId="0" xfId="0" applyFont="1" applyAlignment="1">
      <alignment horizontal="centerContinuous" vertical="center"/>
    </xf>
    <xf numFmtId="176" fontId="22" fillId="0" borderId="32" xfId="0" applyNumberFormat="1" applyFont="1" applyBorder="1" applyAlignment="1">
      <alignment vertical="center" shrinkToFit="1"/>
    </xf>
    <xf numFmtId="0" fontId="19" fillId="0" borderId="0" xfId="0" applyFont="1">
      <alignment vertical="center"/>
    </xf>
    <xf numFmtId="0" fontId="21" fillId="4" borderId="50" xfId="0" applyFont="1" applyFill="1" applyBorder="1" applyAlignment="1">
      <alignment horizontal="center" vertical="center"/>
    </xf>
    <xf numFmtId="177" fontId="14" fillId="0" borderId="5" xfId="0" applyNumberFormat="1" applyFont="1" applyBorder="1" applyAlignment="1">
      <alignment horizontal="centerContinuous" vertical="center" shrinkToFit="1"/>
    </xf>
    <xf numFmtId="177" fontId="14" fillId="0" borderId="7" xfId="0" applyNumberFormat="1" applyFont="1" applyBorder="1" applyAlignment="1">
      <alignment horizontal="centerContinuous" vertical="center" shrinkToFit="1"/>
    </xf>
    <xf numFmtId="0" fontId="21" fillId="5" borderId="0" xfId="0" applyFont="1" applyFill="1" applyAlignment="1">
      <alignment horizontal="center" vertical="center"/>
    </xf>
    <xf numFmtId="0" fontId="23" fillId="0" borderId="0" xfId="0" applyFont="1">
      <alignment vertical="center"/>
    </xf>
    <xf numFmtId="0" fontId="25" fillId="0" borderId="0" xfId="0" applyFont="1">
      <alignment vertical="center"/>
    </xf>
    <xf numFmtId="0" fontId="26" fillId="0" borderId="0" xfId="0" applyFont="1" applyAlignment="1">
      <alignment horizontal="right" vertical="center" shrinkToFit="1"/>
    </xf>
    <xf numFmtId="56" fontId="11" fillId="0" borderId="0" xfId="0" applyNumberFormat="1" applyFont="1">
      <alignment vertical="center"/>
    </xf>
    <xf numFmtId="0" fontId="9" fillId="0" borderId="51" xfId="0" applyFont="1" applyBorder="1">
      <alignment vertical="center"/>
    </xf>
    <xf numFmtId="0" fontId="9" fillId="0" borderId="52" xfId="0" applyFont="1" applyBorder="1">
      <alignment vertical="center"/>
    </xf>
    <xf numFmtId="0" fontId="9" fillId="0" borderId="54" xfId="0" applyFont="1" applyBorder="1">
      <alignment vertical="center"/>
    </xf>
    <xf numFmtId="0" fontId="9" fillId="0" borderId="26" xfId="0" applyFont="1" applyBorder="1">
      <alignment vertical="center"/>
    </xf>
    <xf numFmtId="0" fontId="9" fillId="0" borderId="4" xfId="0" applyFont="1" applyBorder="1">
      <alignment vertical="center"/>
    </xf>
    <xf numFmtId="0" fontId="9" fillId="0" borderId="27" xfId="0" applyFont="1" applyBorder="1">
      <alignment vertical="center"/>
    </xf>
    <xf numFmtId="0" fontId="9" fillId="0" borderId="28" xfId="0" applyFont="1" applyBorder="1">
      <alignment vertical="center"/>
    </xf>
    <xf numFmtId="0" fontId="27" fillId="0" borderId="0" xfId="0" applyFont="1">
      <alignment vertical="center"/>
    </xf>
    <xf numFmtId="0" fontId="9" fillId="0" borderId="35" xfId="0" applyFont="1" applyBorder="1">
      <alignment vertical="center"/>
    </xf>
    <xf numFmtId="0" fontId="9" fillId="0" borderId="35" xfId="0" applyFont="1" applyBorder="1" applyAlignment="1">
      <alignment vertical="center" shrinkToFit="1"/>
    </xf>
    <xf numFmtId="0" fontId="9" fillId="0" borderId="35" xfId="0" applyFont="1" applyBorder="1" applyAlignment="1">
      <alignment horizontal="center" vertical="center" shrinkToFit="1"/>
    </xf>
    <xf numFmtId="0" fontId="28" fillId="0" borderId="27" xfId="0" applyFont="1" applyBorder="1">
      <alignment vertical="center"/>
    </xf>
    <xf numFmtId="0" fontId="28" fillId="0" borderId="26" xfId="0" applyFont="1" applyBorder="1">
      <alignment vertical="center"/>
    </xf>
    <xf numFmtId="0" fontId="28" fillId="0" borderId="4" xfId="0" applyFont="1" applyBorder="1">
      <alignment vertical="center"/>
    </xf>
    <xf numFmtId="56" fontId="3" fillId="0" borderId="0" xfId="0" applyNumberFormat="1" applyFont="1">
      <alignment vertical="center"/>
    </xf>
    <xf numFmtId="56" fontId="3" fillId="6" borderId="0" xfId="0" applyNumberFormat="1" applyFont="1" applyFill="1">
      <alignment vertical="center"/>
    </xf>
    <xf numFmtId="0" fontId="3" fillId="6" borderId="0" xfId="0" applyFont="1" applyFill="1" applyAlignment="1">
      <alignment horizontal="center" vertical="center"/>
    </xf>
    <xf numFmtId="178" fontId="3" fillId="0" borderId="0" xfId="0" applyNumberFormat="1" applyFont="1" applyAlignment="1">
      <alignment horizontal="center" vertical="center"/>
    </xf>
    <xf numFmtId="178" fontId="3" fillId="0" borderId="0" xfId="0" applyNumberFormat="1" applyFont="1">
      <alignment vertical="center"/>
    </xf>
    <xf numFmtId="38" fontId="3" fillId="0" borderId="0" xfId="2" applyFont="1" applyAlignment="1">
      <alignment horizontal="center" vertical="center"/>
    </xf>
    <xf numFmtId="38" fontId="3" fillId="0" borderId="0" xfId="2" applyFont="1">
      <alignment vertical="center"/>
    </xf>
    <xf numFmtId="38" fontId="30" fillId="0" borderId="0" xfId="2" applyFont="1" applyAlignment="1">
      <alignment horizontal="center" vertical="center"/>
    </xf>
    <xf numFmtId="38" fontId="30" fillId="0" borderId="0" xfId="2" applyFont="1">
      <alignment vertical="center"/>
    </xf>
    <xf numFmtId="56" fontId="12" fillId="0" borderId="31" xfId="0" applyNumberFormat="1" applyFont="1" applyBorder="1" applyAlignment="1">
      <alignment horizontal="center" vertical="center"/>
    </xf>
    <xf numFmtId="56" fontId="3" fillId="0" borderId="46" xfId="0" applyNumberFormat="1" applyFont="1" applyBorder="1" applyAlignment="1">
      <alignment horizontal="right" vertical="center"/>
    </xf>
    <xf numFmtId="56" fontId="3" fillId="0" borderId="56" xfId="0" applyNumberFormat="1" applyFont="1" applyBorder="1" applyAlignment="1">
      <alignment horizontal="right" vertical="center"/>
    </xf>
    <xf numFmtId="0" fontId="3" fillId="0" borderId="56" xfId="0" applyFont="1" applyBorder="1" applyAlignment="1">
      <alignment horizontal="center" vertical="center"/>
    </xf>
    <xf numFmtId="0" fontId="5" fillId="0" borderId="48" xfId="1" quotePrefix="1" applyFont="1" applyBorder="1" applyAlignment="1">
      <alignment horizontal="center" vertical="center"/>
    </xf>
    <xf numFmtId="0" fontId="3" fillId="0" borderId="29" xfId="0" applyFont="1" applyBorder="1">
      <alignment vertical="center"/>
    </xf>
    <xf numFmtId="0" fontId="3" fillId="0" borderId="32" xfId="0" applyFont="1" applyBorder="1">
      <alignment vertical="center"/>
    </xf>
    <xf numFmtId="0" fontId="9" fillId="2" borderId="0" xfId="0" applyFont="1" applyFill="1" applyAlignment="1">
      <alignment horizontal="center" vertical="center"/>
    </xf>
    <xf numFmtId="0" fontId="7" fillId="4" borderId="0" xfId="0" applyFont="1" applyFill="1" applyAlignment="1">
      <alignment horizontal="center" vertical="center"/>
    </xf>
    <xf numFmtId="0" fontId="31" fillId="0" borderId="27" xfId="0" applyFont="1" applyBorder="1">
      <alignment vertical="center"/>
    </xf>
    <xf numFmtId="0" fontId="4" fillId="0" borderId="8" xfId="3" applyBorder="1" applyAlignment="1">
      <alignment horizontal="center" vertical="center" shrinkToFit="1"/>
    </xf>
    <xf numFmtId="0" fontId="8" fillId="0" borderId="15" xfId="3" applyFont="1" applyBorder="1" applyAlignment="1">
      <alignment vertical="center" shrinkToFit="1"/>
    </xf>
    <xf numFmtId="0" fontId="9" fillId="0" borderId="57" xfId="0" applyFont="1" applyBorder="1">
      <alignment vertical="center"/>
    </xf>
    <xf numFmtId="0" fontId="9" fillId="0" borderId="58" xfId="0" applyFont="1" applyBorder="1">
      <alignment vertical="center"/>
    </xf>
    <xf numFmtId="0" fontId="31" fillId="0" borderId="58" xfId="0" applyFont="1" applyBorder="1">
      <alignment vertical="center"/>
    </xf>
    <xf numFmtId="0" fontId="31" fillId="0" borderId="59" xfId="0" applyFont="1" applyBorder="1">
      <alignment vertical="center"/>
    </xf>
    <xf numFmtId="0" fontId="31" fillId="0" borderId="57" xfId="0" applyFont="1" applyBorder="1">
      <alignment vertical="center"/>
    </xf>
    <xf numFmtId="0" fontId="31" fillId="0" borderId="60" xfId="0" applyFont="1" applyBorder="1">
      <alignment vertical="center"/>
    </xf>
    <xf numFmtId="0" fontId="9" fillId="0" borderId="59" xfId="0" applyFont="1" applyBorder="1">
      <alignment vertical="center"/>
    </xf>
    <xf numFmtId="0" fontId="4" fillId="0" borderId="21" xfId="3" applyBorder="1" applyAlignment="1">
      <alignment vertical="center" shrinkToFit="1"/>
    </xf>
    <xf numFmtId="0" fontId="32" fillId="0" borderId="20" xfId="0" applyFont="1" applyBorder="1" applyAlignment="1">
      <alignment vertical="center" shrinkToFit="1"/>
    </xf>
    <xf numFmtId="0" fontId="32" fillId="0" borderId="21" xfId="0" applyFont="1" applyBorder="1" applyAlignment="1">
      <alignment vertical="center" shrinkToFit="1"/>
    </xf>
    <xf numFmtId="0" fontId="32" fillId="0" borderId="19" xfId="0" applyFont="1" applyBorder="1" applyAlignment="1">
      <alignment vertical="center" shrinkToFit="1"/>
    </xf>
    <xf numFmtId="0" fontId="33" fillId="0" borderId="58" xfId="0" applyFont="1" applyBorder="1">
      <alignment vertical="center"/>
    </xf>
    <xf numFmtId="0" fontId="16" fillId="0" borderId="0" xfId="0" applyFont="1" applyAlignment="1">
      <alignment horizontal="center" vertical="center" shrinkToFit="1"/>
    </xf>
    <xf numFmtId="0" fontId="35" fillId="0" borderId="61" xfId="0" applyFont="1" applyBorder="1">
      <alignment vertical="center"/>
    </xf>
    <xf numFmtId="0" fontId="35" fillId="0" borderId="51" xfId="0" applyFont="1" applyBorder="1">
      <alignment vertical="center"/>
    </xf>
    <xf numFmtId="0" fontId="35" fillId="0" borderId="62" xfId="0" applyFont="1" applyBorder="1">
      <alignment vertical="center"/>
    </xf>
    <xf numFmtId="0" fontId="31" fillId="0" borderId="26" xfId="0" applyFont="1" applyBorder="1">
      <alignment vertical="center"/>
    </xf>
    <xf numFmtId="0" fontId="17" fillId="0" borderId="8" xfId="3" applyFont="1" applyBorder="1" applyAlignment="1">
      <alignment horizontal="center" vertical="center" shrinkToFit="1"/>
    </xf>
    <xf numFmtId="0" fontId="36" fillId="0" borderId="26" xfId="0" applyFont="1" applyBorder="1">
      <alignment vertical="center"/>
    </xf>
    <xf numFmtId="0" fontId="36" fillId="0" borderId="58" xfId="0" applyFont="1" applyBorder="1">
      <alignment vertical="center"/>
    </xf>
    <xf numFmtId="0" fontId="36" fillId="0" borderId="63" xfId="0" applyFont="1" applyBorder="1">
      <alignment vertical="center"/>
    </xf>
    <xf numFmtId="0" fontId="31" fillId="0" borderId="58" xfId="0" applyFont="1" applyBorder="1" applyAlignment="1">
      <alignment vertical="center" wrapText="1"/>
    </xf>
    <xf numFmtId="0" fontId="19" fillId="0" borderId="4" xfId="0" applyFont="1" applyBorder="1">
      <alignment vertical="center"/>
    </xf>
    <xf numFmtId="56" fontId="9" fillId="0" borderId="28" xfId="0" applyNumberFormat="1" applyFont="1" applyBorder="1">
      <alignment vertical="center"/>
    </xf>
    <xf numFmtId="0" fontId="4" fillId="0" borderId="19" xfId="3" applyBorder="1" applyAlignment="1">
      <alignment vertical="center" shrinkToFit="1"/>
    </xf>
    <xf numFmtId="0" fontId="39" fillId="0" borderId="26" xfId="0" applyFont="1" applyBorder="1">
      <alignment vertical="center"/>
    </xf>
    <xf numFmtId="0" fontId="39" fillId="0" borderId="27" xfId="0" applyFont="1" applyBorder="1">
      <alignment vertical="center"/>
    </xf>
    <xf numFmtId="0" fontId="39" fillId="0" borderId="4" xfId="0" applyFont="1" applyBorder="1">
      <alignment vertical="center"/>
    </xf>
    <xf numFmtId="0" fontId="40" fillId="0" borderId="55" xfId="3" applyFont="1" applyBorder="1" applyAlignment="1">
      <alignment vertical="center" shrinkToFit="1"/>
    </xf>
    <xf numFmtId="0" fontId="4" fillId="0" borderId="53" xfId="3" applyBorder="1" applyAlignment="1">
      <alignment vertical="center" shrinkToFit="1"/>
    </xf>
    <xf numFmtId="0" fontId="28" fillId="0" borderId="64" xfId="0" applyFont="1" applyBorder="1">
      <alignment vertical="center"/>
    </xf>
    <xf numFmtId="0" fontId="28" fillId="0" borderId="65" xfId="0" applyFont="1" applyBorder="1">
      <alignment vertical="center"/>
    </xf>
    <xf numFmtId="0" fontId="4" fillId="0" borderId="20" xfId="3" applyBorder="1" applyAlignment="1">
      <alignment vertical="center" shrinkToFit="1"/>
    </xf>
    <xf numFmtId="0" fontId="41" fillId="0" borderId="27" xfId="0" applyFont="1" applyBorder="1">
      <alignment vertical="center"/>
    </xf>
    <xf numFmtId="0" fontId="41" fillId="0" borderId="26" xfId="0" applyFont="1" applyBorder="1">
      <alignment vertical="center"/>
    </xf>
    <xf numFmtId="0" fontId="41" fillId="0" borderId="4" xfId="0" applyFont="1" applyBorder="1">
      <alignment vertical="center"/>
    </xf>
    <xf numFmtId="0" fontId="9" fillId="0" borderId="26" xfId="0" applyFont="1" applyBorder="1" applyAlignment="1">
      <alignment vertical="center" wrapText="1"/>
    </xf>
    <xf numFmtId="0" fontId="12" fillId="0" borderId="47" xfId="0" applyFont="1" applyBorder="1" applyAlignment="1">
      <alignment horizontal="center" vertical="center" shrinkToFit="1"/>
    </xf>
    <xf numFmtId="0" fontId="17" fillId="0" borderId="0" xfId="1" applyFont="1" applyBorder="1" applyAlignment="1">
      <alignment horizontal="center" vertical="center" shrinkToFit="1"/>
    </xf>
    <xf numFmtId="0" fontId="9" fillId="0" borderId="66" xfId="0" applyFont="1" applyBorder="1">
      <alignment vertical="center"/>
    </xf>
    <xf numFmtId="0" fontId="28" fillId="0" borderId="61" xfId="0" applyFont="1" applyBorder="1">
      <alignment vertical="center"/>
    </xf>
    <xf numFmtId="0" fontId="28" fillId="0" borderId="51" xfId="0" applyFont="1" applyBorder="1">
      <alignment vertical="center"/>
    </xf>
    <xf numFmtId="0" fontId="37" fillId="0" borderId="62" xfId="0" applyFont="1" applyBorder="1">
      <alignment vertical="center"/>
    </xf>
    <xf numFmtId="0" fontId="40" fillId="0" borderId="26" xfId="3" applyFont="1" applyBorder="1">
      <alignment vertical="center"/>
    </xf>
    <xf numFmtId="56" fontId="9" fillId="0" borderId="26" xfId="0" applyNumberFormat="1" applyFont="1" applyBorder="1">
      <alignment vertical="center"/>
    </xf>
    <xf numFmtId="0" fontId="28" fillId="0" borderId="64" xfId="0" applyFont="1" applyBorder="1" applyAlignment="1">
      <alignment vertical="center" wrapText="1"/>
    </xf>
    <xf numFmtId="0" fontId="28" fillId="0" borderId="67" xfId="0" applyFont="1" applyBorder="1">
      <alignment vertical="center"/>
    </xf>
    <xf numFmtId="56" fontId="11" fillId="0" borderId="20" xfId="0" applyNumberFormat="1" applyFont="1" applyBorder="1" applyAlignment="1">
      <alignment vertical="center" shrinkToFit="1"/>
    </xf>
    <xf numFmtId="56" fontId="42" fillId="0" borderId="4" xfId="3" applyNumberFormat="1" applyFont="1" applyBorder="1">
      <alignment vertical="center"/>
    </xf>
    <xf numFmtId="0" fontId="9" fillId="0" borderId="4" xfId="0" applyFont="1" applyBorder="1" applyAlignment="1">
      <alignment vertical="center" wrapText="1"/>
    </xf>
    <xf numFmtId="0" fontId="11" fillId="0" borderId="68" xfId="0" applyFont="1" applyBorder="1" applyAlignment="1">
      <alignment vertical="center" shrinkToFit="1"/>
    </xf>
    <xf numFmtId="0" fontId="11" fillId="0" borderId="69" xfId="0" applyFont="1" applyBorder="1" applyAlignment="1">
      <alignment vertical="center" shrinkToFit="1"/>
    </xf>
    <xf numFmtId="0" fontId="11" fillId="0" borderId="70" xfId="0" applyFont="1" applyBorder="1" applyAlignment="1">
      <alignment vertical="center" shrinkToFit="1"/>
    </xf>
    <xf numFmtId="0" fontId="4" fillId="0" borderId="70" xfId="3" applyBorder="1">
      <alignment vertical="center"/>
    </xf>
    <xf numFmtId="0" fontId="11" fillId="0" borderId="71" xfId="0" applyFont="1" applyBorder="1" applyAlignment="1">
      <alignment vertical="center" shrinkToFit="1"/>
    </xf>
    <xf numFmtId="0" fontId="19" fillId="0" borderId="51" xfId="0" applyFont="1" applyBorder="1">
      <alignment vertical="center"/>
    </xf>
    <xf numFmtId="0" fontId="11" fillId="0" borderId="62" xfId="0" applyFont="1" applyBorder="1">
      <alignment vertical="center"/>
    </xf>
    <xf numFmtId="0" fontId="43" fillId="0" borderId="27" xfId="0" applyFont="1" applyBorder="1">
      <alignment vertical="center"/>
    </xf>
    <xf numFmtId="0" fontId="43" fillId="0" borderId="26" xfId="0" applyFont="1" applyBorder="1">
      <alignment vertical="center"/>
    </xf>
    <xf numFmtId="0" fontId="43" fillId="0" borderId="4" xfId="0" applyFont="1" applyBorder="1">
      <alignment vertical="center"/>
    </xf>
    <xf numFmtId="0" fontId="11" fillId="0" borderId="51" xfId="0" applyFont="1" applyBorder="1">
      <alignment vertical="center"/>
    </xf>
    <xf numFmtId="0" fontId="45" fillId="0" borderId="51" xfId="0" applyFont="1" applyBorder="1">
      <alignment vertical="center"/>
    </xf>
    <xf numFmtId="0" fontId="45" fillId="0" borderId="62" xfId="0" applyFont="1" applyBorder="1">
      <alignment vertical="center"/>
    </xf>
    <xf numFmtId="0" fontId="37" fillId="0" borderId="26" xfId="0" applyFont="1" applyBorder="1">
      <alignment vertical="center"/>
    </xf>
    <xf numFmtId="0" fontId="31" fillId="0" borderId="27" xfId="0" applyFont="1" applyBorder="1" applyAlignment="1">
      <alignment vertical="center" wrapText="1"/>
    </xf>
    <xf numFmtId="0" fontId="11" fillId="0" borderId="21" xfId="0" applyFont="1" applyBorder="1" applyAlignment="1">
      <alignment vertical="center" wrapText="1" shrinkToFit="1"/>
    </xf>
    <xf numFmtId="0" fontId="31" fillId="0" borderId="4" xfId="0" applyFont="1" applyBorder="1" applyAlignment="1">
      <alignment vertical="center" wrapText="1"/>
    </xf>
    <xf numFmtId="0" fontId="47" fillId="0" borderId="9" xfId="0" applyFont="1" applyBorder="1" applyAlignment="1">
      <alignment horizontal="center" vertical="center" shrinkToFit="1"/>
    </xf>
    <xf numFmtId="0" fontId="47" fillId="0" borderId="8" xfId="0" applyFont="1" applyBorder="1" applyAlignment="1">
      <alignment horizontal="center" vertical="center" shrinkToFit="1"/>
    </xf>
    <xf numFmtId="0" fontId="48" fillId="0" borderId="8" xfId="3" applyFont="1" applyBorder="1" applyAlignment="1">
      <alignment horizontal="center" vertical="center" shrinkToFit="1"/>
    </xf>
    <xf numFmtId="0" fontId="49" fillId="0" borderId="0" xfId="3" applyFont="1">
      <alignment vertical="center"/>
    </xf>
    <xf numFmtId="0" fontId="50" fillId="0" borderId="19" xfId="0" applyFont="1" applyBorder="1" applyAlignment="1">
      <alignment vertical="center" shrinkToFit="1"/>
    </xf>
    <xf numFmtId="0" fontId="50" fillId="0" borderId="20" xfId="0" applyFont="1" applyBorder="1" applyAlignment="1">
      <alignment vertical="center" shrinkToFit="1"/>
    </xf>
    <xf numFmtId="0" fontId="51" fillId="0" borderId="0" xfId="0" applyFont="1">
      <alignment vertical="center"/>
    </xf>
    <xf numFmtId="0" fontId="39" fillId="0" borderId="58" xfId="0" applyFont="1" applyBorder="1">
      <alignment vertical="center"/>
    </xf>
    <xf numFmtId="0" fontId="31" fillId="0" borderId="66" xfId="0" applyFont="1" applyBorder="1">
      <alignment vertical="center"/>
    </xf>
    <xf numFmtId="0" fontId="10" fillId="0" borderId="4" xfId="0" applyFont="1" applyBorder="1">
      <alignment vertical="center"/>
    </xf>
    <xf numFmtId="0" fontId="37" fillId="0" borderId="61" xfId="0" applyFont="1" applyBorder="1">
      <alignment vertical="center"/>
    </xf>
    <xf numFmtId="0" fontId="38" fillId="0" borderId="20" xfId="0" applyFont="1" applyBorder="1" applyAlignment="1">
      <alignment vertical="center" shrinkToFit="1"/>
    </xf>
    <xf numFmtId="0" fontId="4" fillId="0" borderId="37" xfId="3" quotePrefix="1" applyBorder="1" applyAlignment="1">
      <alignment horizontal="center" vertical="center"/>
    </xf>
    <xf numFmtId="0" fontId="33" fillId="0" borderId="72" xfId="0" applyFont="1" applyBorder="1">
      <alignment vertical="center"/>
    </xf>
    <xf numFmtId="0" fontId="36" fillId="0" borderId="4" xfId="0" applyFont="1" applyBorder="1">
      <alignment vertical="center"/>
    </xf>
    <xf numFmtId="0" fontId="19" fillId="0" borderId="26" xfId="0" applyFont="1" applyBorder="1">
      <alignment vertical="center"/>
    </xf>
    <xf numFmtId="0" fontId="39" fillId="0" borderId="27" xfId="0" applyFont="1" applyBorder="1" applyAlignment="1">
      <alignment vertical="center" wrapText="1"/>
    </xf>
    <xf numFmtId="0" fontId="45" fillId="0" borderId="21" xfId="0" applyFont="1" applyBorder="1" applyAlignment="1">
      <alignment vertical="center" shrinkToFit="1"/>
    </xf>
    <xf numFmtId="0" fontId="16" fillId="0" borderId="73" xfId="0" applyFont="1" applyBorder="1" applyAlignment="1">
      <alignment horizontal="center" vertical="center" shrinkToFit="1"/>
    </xf>
    <xf numFmtId="0" fontId="35" fillId="0" borderId="64" xfId="0" applyFont="1" applyBorder="1" applyAlignment="1">
      <alignment vertical="center" wrapText="1"/>
    </xf>
    <xf numFmtId="0" fontId="35" fillId="0" borderId="65" xfId="0" applyFont="1" applyBorder="1">
      <alignment vertical="center"/>
    </xf>
    <xf numFmtId="0" fontId="35" fillId="0" borderId="67" xfId="0" applyFont="1" applyBorder="1">
      <alignment vertical="center"/>
    </xf>
    <xf numFmtId="0" fontId="31" fillId="0" borderId="58" xfId="0" applyFont="1" applyBorder="1" applyAlignment="1">
      <alignment vertical="center" shrinkToFit="1"/>
    </xf>
    <xf numFmtId="0" fontId="54" fillId="0" borderId="37" xfId="3" applyFont="1" applyBorder="1" applyAlignment="1">
      <alignment horizontal="center" vertical="center"/>
    </xf>
    <xf numFmtId="14" fontId="12" fillId="0" borderId="43" xfId="0" applyNumberFormat="1" applyFont="1" applyBorder="1" applyAlignment="1">
      <alignment horizontal="center" vertical="center" shrinkToFit="1"/>
    </xf>
    <xf numFmtId="0" fontId="16" fillId="0" borderId="3" xfId="0" applyFont="1" applyBorder="1" applyAlignment="1">
      <alignment horizontal="center" vertical="center" shrinkToFit="1"/>
    </xf>
    <xf numFmtId="0" fontId="28" fillId="0" borderId="58" xfId="0" applyFont="1" applyBorder="1">
      <alignment vertical="center"/>
    </xf>
    <xf numFmtId="0" fontId="9" fillId="0" borderId="74" xfId="0" applyFont="1" applyBorder="1">
      <alignment vertical="center"/>
    </xf>
    <xf numFmtId="0" fontId="31" fillId="0" borderId="4" xfId="0" applyFont="1" applyBorder="1">
      <alignment vertical="center"/>
    </xf>
    <xf numFmtId="0" fontId="31" fillId="0" borderId="26" xfId="0" applyFont="1" applyBorder="1" applyAlignment="1">
      <alignment vertical="center" wrapText="1"/>
    </xf>
    <xf numFmtId="0" fontId="19" fillId="0" borderId="62" xfId="0" applyFont="1" applyBorder="1">
      <alignment vertical="center"/>
    </xf>
    <xf numFmtId="0" fontId="13" fillId="2" borderId="40" xfId="0" applyFont="1" applyFill="1" applyBorder="1" applyAlignment="1">
      <alignment horizontal="center" vertical="center"/>
    </xf>
    <xf numFmtId="0" fontId="13" fillId="2" borderId="30" xfId="0" applyFont="1" applyFill="1" applyBorder="1" applyAlignment="1">
      <alignment horizontal="center" vertical="center"/>
    </xf>
  </cellXfs>
  <cellStyles count="4">
    <cellStyle name="Hyperlink" xfId="3" xr:uid="{00000000-000B-0000-0000-000008000000}"/>
    <cellStyle name="ハイパーリンク" xfId="1" builtinId="8"/>
    <cellStyle name="桁区切り" xfId="2" builtinId="6"/>
    <cellStyle name="標準" xfId="0" builtinId="0"/>
  </cellStyles>
  <dxfs count="2">
    <dxf>
      <fill>
        <patternFill>
          <bgColor rgb="FFFFFF00"/>
        </patternFill>
      </fill>
    </dxf>
    <dxf>
      <font>
        <b/>
        <i val="0"/>
      </font>
      <fill>
        <patternFill>
          <bgColor rgb="FFFFFF00"/>
        </patternFill>
      </fill>
    </dxf>
  </dxfs>
  <tableStyles count="0" defaultTableStyle="TableStyleMedium2" defaultPivotStyle="PivotStyleLight16"/>
  <colors>
    <mruColors>
      <color rgb="FF000000"/>
      <color rgb="FF0033CC"/>
      <color rgb="FFFFFF99"/>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29</xdr:row>
      <xdr:rowOff>38100</xdr:rowOff>
    </xdr:from>
    <xdr:to>
      <xdr:col>3</xdr:col>
      <xdr:colOff>1626091</xdr:colOff>
      <xdr:row>37</xdr:row>
      <xdr:rowOff>62515</xdr:rowOff>
    </xdr:to>
    <xdr:pic>
      <xdr:nvPicPr>
        <xdr:cNvPr id="8" name="図 7">
          <a:extLst>
            <a:ext uri="{FF2B5EF4-FFF2-40B4-BE49-F238E27FC236}">
              <a16:creationId xmlns:a16="http://schemas.microsoft.com/office/drawing/2014/main" id="{671644F5-848D-DB9A-204B-BB00AB280527}"/>
            </a:ext>
          </a:extLst>
        </xdr:cNvPr>
        <xdr:cNvPicPr>
          <a:picLocks noChangeAspect="1"/>
        </xdr:cNvPicPr>
      </xdr:nvPicPr>
      <xdr:blipFill rotWithShape="1">
        <a:blip xmlns:r="http://schemas.openxmlformats.org/officeDocument/2006/relationships" r:embed="rId1"/>
        <a:srcRect l="7611" t="11481"/>
        <a:stretch/>
      </xdr:blipFill>
      <xdr:spPr>
        <a:xfrm>
          <a:off x="114300" y="4975860"/>
          <a:ext cx="3607291" cy="1548415"/>
        </a:xfrm>
        <a:prstGeom prst="rect">
          <a:avLst/>
        </a:prstGeom>
      </xdr:spPr>
    </xdr:pic>
    <xdr:clientData/>
  </xdr:twoCellAnchor>
  <xdr:twoCellAnchor>
    <xdr:from>
      <xdr:col>3</xdr:col>
      <xdr:colOff>152400</xdr:colOff>
      <xdr:row>45</xdr:row>
      <xdr:rowOff>129540</xdr:rowOff>
    </xdr:from>
    <xdr:to>
      <xdr:col>3</xdr:col>
      <xdr:colOff>3436620</xdr:colOff>
      <xdr:row>53</xdr:row>
      <xdr:rowOff>7620</xdr:rowOff>
    </xdr:to>
    <xdr:sp macro="" textlink="">
      <xdr:nvSpPr>
        <xdr:cNvPr id="2" name="吹き出し: 角を丸めた四角形 1">
          <a:extLst>
            <a:ext uri="{FF2B5EF4-FFF2-40B4-BE49-F238E27FC236}">
              <a16:creationId xmlns:a16="http://schemas.microsoft.com/office/drawing/2014/main" id="{28E97D79-03FA-8F4E-478B-B5D37253C7BF}"/>
            </a:ext>
          </a:extLst>
        </xdr:cNvPr>
        <xdr:cNvSpPr/>
      </xdr:nvSpPr>
      <xdr:spPr>
        <a:xfrm>
          <a:off x="1790700" y="3604260"/>
          <a:ext cx="3284220" cy="1409700"/>
        </a:xfrm>
        <a:prstGeom prst="wedgeRoundRectCallout">
          <a:avLst>
            <a:gd name="adj1" fmla="val -31059"/>
            <a:gd name="adj2" fmla="val -79987"/>
            <a:gd name="adj3" fmla="val 16667"/>
          </a:avLst>
        </a:prstGeom>
        <a:solidFill>
          <a:srgbClr val="FFFF99"/>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各部</a:t>
          </a:r>
          <a:r>
            <a:rPr kumimoji="1" lang="en-US" altLang="ja-JP" sz="1100">
              <a:solidFill>
                <a:srgbClr val="FF0000"/>
              </a:solidFill>
            </a:rPr>
            <a:t>5</a:t>
          </a:r>
          <a:r>
            <a:rPr kumimoji="1" lang="ja-JP" altLang="en-US" sz="1100">
              <a:solidFill>
                <a:srgbClr val="FF0000"/>
              </a:solidFill>
            </a:rPr>
            <a:t>行以内で全社共有項目をご記入ください。</a:t>
          </a:r>
          <a:endParaRPr kumimoji="1" lang="en-US" altLang="ja-JP" sz="1100">
            <a:solidFill>
              <a:srgbClr val="FF0000"/>
            </a:solidFill>
          </a:endParaRPr>
        </a:p>
        <a:p>
          <a:pPr algn="l"/>
          <a:r>
            <a:rPr kumimoji="1" lang="ja-JP" altLang="en-US" sz="1100">
              <a:solidFill>
                <a:srgbClr val="FF0000"/>
              </a:solidFill>
            </a:rPr>
            <a:t>但し、行が不足した場合は挿入いただいても</a:t>
          </a:r>
          <a:endParaRPr kumimoji="1" lang="en-US" altLang="ja-JP" sz="1100">
            <a:solidFill>
              <a:srgbClr val="FF0000"/>
            </a:solidFill>
          </a:endParaRPr>
        </a:p>
        <a:p>
          <a:pPr algn="l"/>
          <a:r>
            <a:rPr kumimoji="1" lang="ja-JP" altLang="en-US" sz="1100">
              <a:solidFill>
                <a:srgbClr val="FF0000"/>
              </a:solidFill>
            </a:rPr>
            <a:t>構いません。</a:t>
          </a:r>
          <a:endParaRPr kumimoji="1" lang="en-US" altLang="ja-JP" sz="1100">
            <a:solidFill>
              <a:srgbClr val="FF0000"/>
            </a:solidFill>
          </a:endParaRPr>
        </a:p>
        <a:p>
          <a:pPr algn="l"/>
          <a:r>
            <a:rPr kumimoji="1" lang="ja-JP" altLang="en-US" sz="1100">
              <a:solidFill>
                <a:srgbClr val="FF0000"/>
              </a:solidFill>
            </a:rPr>
            <a:t>挿入される場合は行ごと挿入いただくよう</a:t>
          </a:r>
          <a:endParaRPr kumimoji="1" lang="en-US" altLang="ja-JP" sz="1100">
            <a:solidFill>
              <a:srgbClr val="FF0000"/>
            </a:solidFill>
          </a:endParaRPr>
        </a:p>
        <a:p>
          <a:pPr algn="l"/>
          <a:r>
            <a:rPr kumimoji="1" lang="ja-JP" altLang="en-US" sz="1100">
              <a:solidFill>
                <a:srgbClr val="FF0000"/>
              </a:solidFill>
            </a:rPr>
            <a:t>お願いいたします。（セルのみの挿入は不可）</a:t>
          </a:r>
        </a:p>
      </xdr:txBody>
    </xdr:sp>
    <xdr:clientData/>
  </xdr:twoCellAnchor>
  <xdr:twoCellAnchor>
    <xdr:from>
      <xdr:col>3</xdr:col>
      <xdr:colOff>3619500</xdr:colOff>
      <xdr:row>43</xdr:row>
      <xdr:rowOff>137160</xdr:rowOff>
    </xdr:from>
    <xdr:to>
      <xdr:col>5</xdr:col>
      <xdr:colOff>289560</xdr:colOff>
      <xdr:row>56</xdr:row>
      <xdr:rowOff>152400</xdr:rowOff>
    </xdr:to>
    <xdr:sp macro="" textlink="">
      <xdr:nvSpPr>
        <xdr:cNvPr id="3" name="吹き出し: 角を丸めた四角形 2">
          <a:extLst>
            <a:ext uri="{FF2B5EF4-FFF2-40B4-BE49-F238E27FC236}">
              <a16:creationId xmlns:a16="http://schemas.microsoft.com/office/drawing/2014/main" id="{B1C55F5A-493D-4E59-BDCC-0B18412B1D25}"/>
            </a:ext>
          </a:extLst>
        </xdr:cNvPr>
        <xdr:cNvSpPr/>
      </xdr:nvSpPr>
      <xdr:spPr>
        <a:xfrm>
          <a:off x="5257800" y="3230880"/>
          <a:ext cx="1882140" cy="2499360"/>
        </a:xfrm>
        <a:prstGeom prst="wedgeRoundRectCallout">
          <a:avLst>
            <a:gd name="adj1" fmla="val -31059"/>
            <a:gd name="adj2" fmla="val -79987"/>
            <a:gd name="adj3" fmla="val 16667"/>
          </a:avLst>
        </a:prstGeom>
        <a:solidFill>
          <a:srgbClr val="FFFF99"/>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OneDrive</a:t>
          </a:r>
          <a:r>
            <a:rPr kumimoji="1" lang="ja-JP" altLang="en-US" sz="1100">
              <a:solidFill>
                <a:srgbClr val="FF0000"/>
              </a:solidFill>
            </a:rPr>
            <a:t>ではリンクが飛ばないため、お手数ですが補足資料格納時は</a:t>
          </a:r>
          <a:r>
            <a:rPr kumimoji="1" lang="en-US" altLang="ja-JP" sz="1100">
              <a:solidFill>
                <a:srgbClr val="FF0000"/>
              </a:solidFill>
            </a:rPr>
            <a:t>『</a:t>
          </a:r>
          <a:r>
            <a:rPr kumimoji="1" lang="ja-JP" altLang="en-US" sz="1100">
              <a:solidFill>
                <a:srgbClr val="FF0000"/>
              </a:solidFill>
            </a:rPr>
            <a:t>ﾘｽﾄ</a:t>
          </a:r>
          <a:r>
            <a:rPr kumimoji="1" lang="en-US" altLang="ja-JP" sz="1100">
              <a:solidFill>
                <a:srgbClr val="FF0000"/>
              </a:solidFill>
            </a:rPr>
            <a:t>』</a:t>
          </a:r>
          <a:r>
            <a:rPr kumimoji="1" lang="ja-JP" altLang="en-US" sz="1100">
              <a:solidFill>
                <a:srgbClr val="FF0000"/>
              </a:solidFill>
            </a:rPr>
            <a:t>シートの格納先をコピペして保存をお願いします。</a:t>
          </a:r>
          <a:endParaRPr kumimoji="1" lang="en-US" altLang="ja-JP" sz="1100">
            <a:solidFill>
              <a:srgbClr val="FF0000"/>
            </a:solidFill>
          </a:endParaRPr>
        </a:p>
        <a:p>
          <a:pPr algn="l"/>
          <a:r>
            <a:rPr kumimoji="1" lang="ja-JP" altLang="en-US" sz="1100">
              <a:solidFill>
                <a:srgbClr val="FF0000"/>
              </a:solidFill>
            </a:rPr>
            <a:t>全社配布時（</a:t>
          </a:r>
          <a:r>
            <a:rPr kumimoji="1" lang="en-US" altLang="ja-JP" sz="1100">
              <a:solidFill>
                <a:srgbClr val="FF0000"/>
              </a:solidFill>
            </a:rPr>
            <a:t>Excel</a:t>
          </a:r>
          <a:r>
            <a:rPr kumimoji="1" lang="ja-JP" altLang="en-US" sz="1100">
              <a:solidFill>
                <a:srgbClr val="FF0000"/>
              </a:solidFill>
            </a:rPr>
            <a:t>）は各部名よりリンク先に飛べるようになります。</a:t>
          </a:r>
        </a:p>
      </xdr:txBody>
    </xdr:sp>
    <xdr:clientData/>
  </xdr:twoCellAnchor>
  <xdr:twoCellAnchor>
    <xdr:from>
      <xdr:col>5</xdr:col>
      <xdr:colOff>403860</xdr:colOff>
      <xdr:row>46</xdr:row>
      <xdr:rowOff>83820</xdr:rowOff>
    </xdr:from>
    <xdr:to>
      <xdr:col>5</xdr:col>
      <xdr:colOff>2286000</xdr:colOff>
      <xdr:row>50</xdr:row>
      <xdr:rowOff>83820</xdr:rowOff>
    </xdr:to>
    <xdr:sp macro="" textlink="">
      <xdr:nvSpPr>
        <xdr:cNvPr id="4" name="吹き出し: 角を丸めた四角形 3">
          <a:extLst>
            <a:ext uri="{FF2B5EF4-FFF2-40B4-BE49-F238E27FC236}">
              <a16:creationId xmlns:a16="http://schemas.microsoft.com/office/drawing/2014/main" id="{9074E55E-72FE-4EB6-A3DC-F8417735ECF3}"/>
            </a:ext>
          </a:extLst>
        </xdr:cNvPr>
        <xdr:cNvSpPr/>
      </xdr:nvSpPr>
      <xdr:spPr>
        <a:xfrm>
          <a:off x="7254240" y="3749040"/>
          <a:ext cx="1882140" cy="762000"/>
        </a:xfrm>
        <a:prstGeom prst="wedgeRoundRectCallout">
          <a:avLst>
            <a:gd name="adj1" fmla="val -34703"/>
            <a:gd name="adj2" fmla="val -107987"/>
            <a:gd name="adj3" fmla="val 16667"/>
          </a:avLst>
        </a:prstGeom>
        <a:solidFill>
          <a:srgbClr val="FFFF99"/>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補足資料のファイル名等ご記入ください。</a:t>
          </a:r>
          <a:endParaRPr kumimoji="1" lang="en-US" altLang="ja-JP" sz="1100">
            <a:solidFill>
              <a:srgbClr val="FF0000"/>
            </a:solidFill>
          </a:endParaRPr>
        </a:p>
      </xdr:txBody>
    </xdr:sp>
    <xdr:clientData/>
  </xdr:twoCellAnchor>
  <xdr:twoCellAnchor>
    <xdr:from>
      <xdr:col>3</xdr:col>
      <xdr:colOff>762000</xdr:colOff>
      <xdr:row>30</xdr:row>
      <xdr:rowOff>144780</xdr:rowOff>
    </xdr:from>
    <xdr:to>
      <xdr:col>3</xdr:col>
      <xdr:colOff>1386840</xdr:colOff>
      <xdr:row>37</xdr:row>
      <xdr:rowOff>45720</xdr:rowOff>
    </xdr:to>
    <xdr:sp macro="" textlink="">
      <xdr:nvSpPr>
        <xdr:cNvPr id="6" name="正方形/長方形 5">
          <a:extLst>
            <a:ext uri="{FF2B5EF4-FFF2-40B4-BE49-F238E27FC236}">
              <a16:creationId xmlns:a16="http://schemas.microsoft.com/office/drawing/2014/main" id="{5340A93F-A6BD-1619-34D5-716579D751FA}"/>
            </a:ext>
          </a:extLst>
        </xdr:cNvPr>
        <xdr:cNvSpPr/>
      </xdr:nvSpPr>
      <xdr:spPr>
        <a:xfrm>
          <a:off x="2857500" y="5273040"/>
          <a:ext cx="624840" cy="1234440"/>
        </a:xfrm>
        <a:prstGeom prst="rect">
          <a:avLst/>
        </a:prstGeom>
        <a:noFill/>
        <a:ln w="539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2103120</xdr:colOff>
      <xdr:row>32</xdr:row>
      <xdr:rowOff>182880</xdr:rowOff>
    </xdr:from>
    <xdr:to>
      <xdr:col>4</xdr:col>
      <xdr:colOff>335280</xdr:colOff>
      <xdr:row>36</xdr:row>
      <xdr:rowOff>106680</xdr:rowOff>
    </xdr:to>
    <xdr:sp macro="" textlink="">
      <xdr:nvSpPr>
        <xdr:cNvPr id="7" name="吹き出し: 角を丸めた四角形 6">
          <a:extLst>
            <a:ext uri="{FF2B5EF4-FFF2-40B4-BE49-F238E27FC236}">
              <a16:creationId xmlns:a16="http://schemas.microsoft.com/office/drawing/2014/main" id="{26FC1DD4-7B98-45CB-8AA6-84ADAE3CFD27}"/>
            </a:ext>
          </a:extLst>
        </xdr:cNvPr>
        <xdr:cNvSpPr/>
      </xdr:nvSpPr>
      <xdr:spPr>
        <a:xfrm>
          <a:off x="4198620" y="4381500"/>
          <a:ext cx="1882140" cy="685800"/>
        </a:xfrm>
        <a:prstGeom prst="wedgeRoundRectCallout">
          <a:avLst>
            <a:gd name="adj1" fmla="val -75189"/>
            <a:gd name="adj2" fmla="val -20987"/>
            <a:gd name="adj3" fmla="val 16667"/>
          </a:avLst>
        </a:prstGeom>
        <a:solidFill>
          <a:srgbClr val="FFFF99"/>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該当週の</a:t>
          </a:r>
          <a:r>
            <a:rPr kumimoji="1" lang="en-US" altLang="ja-JP" sz="1100">
              <a:solidFill>
                <a:srgbClr val="FF0000"/>
              </a:solidFill>
            </a:rPr>
            <a:t>『</a:t>
          </a:r>
          <a:r>
            <a:rPr kumimoji="1" lang="ja-JP" altLang="en-US" sz="1100">
              <a:solidFill>
                <a:srgbClr val="FF0000"/>
              </a:solidFill>
            </a:rPr>
            <a:t>こちら</a:t>
          </a:r>
          <a:r>
            <a:rPr kumimoji="1" lang="en-US" altLang="ja-JP" sz="1100">
              <a:solidFill>
                <a:srgbClr val="FF0000"/>
              </a:solidFill>
            </a:rPr>
            <a:t>』</a:t>
          </a:r>
          <a:r>
            <a:rPr kumimoji="1" lang="ja-JP" altLang="en-US" sz="1100">
              <a:solidFill>
                <a:srgbClr val="FF0000"/>
              </a:solidFill>
            </a:rPr>
            <a:t>を</a:t>
          </a:r>
          <a:endParaRPr kumimoji="1" lang="en-US" altLang="ja-JP" sz="1100">
            <a:solidFill>
              <a:srgbClr val="FF0000"/>
            </a:solidFill>
          </a:endParaRPr>
        </a:p>
        <a:p>
          <a:pPr algn="l"/>
          <a:r>
            <a:rPr kumimoji="1" lang="ja-JP" altLang="en-US" sz="1100">
              <a:solidFill>
                <a:srgbClr val="FF0000"/>
              </a:solidFill>
            </a:rPr>
            <a:t>押下ください。</a:t>
          </a:r>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oec.cybozu.com/g/bulletin/view.csp?cid=7&amp;aid=1326" TargetMode="External"/><Relationship Id="rId2" Type="http://schemas.openxmlformats.org/officeDocument/2006/relationships/hyperlink" Target="https://oec.cybozu.com/g/bulletin/view.csp?cid=7&amp;aid=1325" TargetMode="External"/><Relationship Id="rId1" Type="http://schemas.openxmlformats.org/officeDocument/2006/relationships/hyperlink" Target="https://oec.cybozu.com/g/bulletin/view.csp?aid=1298" TargetMode="External"/><Relationship Id="rId5" Type="http://schemas.openxmlformats.org/officeDocument/2006/relationships/printerSettings" Target="../printerSettings/printerSettings5.bin"/><Relationship Id="rId4" Type="http://schemas.openxmlformats.org/officeDocument/2006/relationships/hyperlink" Target="https://oec.cybozu.com/g/bulletin/view.csp?cid=9&amp;aid=1322"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oec.cybozu.com/g/bulletin/view.csp?cid=9&amp;aid=1378" TargetMode="External"/><Relationship Id="rId1" Type="http://schemas.openxmlformats.org/officeDocument/2006/relationships/hyperlink" Target="https://oec.cybozu.com/g/bulletin/view.csp?cid=3&amp;aid=136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oec.cybozu.com/g/bulletin/view.csp?cid=9&amp;aid=1385" TargetMode="External"/><Relationship Id="rId2" Type="http://schemas.openxmlformats.org/officeDocument/2006/relationships/hyperlink" Target="https://oec.cybozu.com/g/bulletin/view.csp?cid=7&amp;aid=1390" TargetMode="External"/><Relationship Id="rId1" Type="http://schemas.openxmlformats.org/officeDocument/2006/relationships/hyperlink" Target="https://www.spexa.jp/tokyo/ja-jp.html" TargetMode="External"/><Relationship Id="rId5" Type="http://schemas.openxmlformats.org/officeDocument/2006/relationships/printerSettings" Target="../printerSettings/printerSettings7.bin"/><Relationship Id="rId4" Type="http://schemas.openxmlformats.org/officeDocument/2006/relationships/hyperlink" Target="https://oec.cybozu.com/g/bulletin/view.csp?cid=7&amp;aid=1404"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oec.cybozu.com/g/bulletin/view.csp?cid=9&amp;aid=1402" TargetMode="External"/><Relationship Id="rId2" Type="http://schemas.openxmlformats.org/officeDocument/2006/relationships/hyperlink" Target="https://oec.cybozu.com/g/bulletin/view.csp?cid=9&amp;aid=1385" TargetMode="External"/><Relationship Id="rId1" Type="http://schemas.openxmlformats.org/officeDocument/2006/relationships/hyperlink" Target="https://oec.cybozu.com/g/bulletin/view.csp?cid=3&amp;aid=1423" TargetMode="External"/><Relationship Id="rId4"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hyperlink" Target="https://oec.cybozu.com/g/bulletin/view.csp?cid=16&amp;aid=1419" TargetMode="External"/><Relationship Id="rId2" Type="http://schemas.openxmlformats.org/officeDocument/2006/relationships/hyperlink" Target="https://oec.cybozu.com/g/bulletin/view.csp?cid=9&amp;aid=1385" TargetMode="External"/><Relationship Id="rId1" Type="http://schemas.openxmlformats.org/officeDocument/2006/relationships/hyperlink" Target="https://oec.cybozu.com/g/bulletin/view.csp?aid=1430" TargetMode="External"/><Relationship Id="rId4"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hyperlink" Target="https://oec.cybozu.com/g/bulletin/view.csp?aid=932" TargetMode="External"/><Relationship Id="rId2" Type="http://schemas.openxmlformats.org/officeDocument/2006/relationships/hyperlink" Target="file:///\\10.100.1.232\oec1\LEVEL_C_UP\CU250_&#26989;&#21209;&#36913;&#22577;V2.0\2024&#24180;&#24230;\12_&#20844;&#20849;&#12499;&#12472;&#12493;&#12473;&#20107;&#26989;&#37096;\240517" TargetMode="External"/><Relationship Id="rId1" Type="http://schemas.openxmlformats.org/officeDocument/2006/relationships/hyperlink" Target="https://forms.office.com/r/aTQVC501Qj" TargetMode="External"/><Relationship Id="rId6" Type="http://schemas.openxmlformats.org/officeDocument/2006/relationships/printerSettings" Target="../printerSettings/printerSettings10.bin"/><Relationship Id="rId5" Type="http://schemas.openxmlformats.org/officeDocument/2006/relationships/hyperlink" Target="https://oec.cybozu.com/g/bulletin/view.csp?cid=16&amp;aid=1419" TargetMode="External"/><Relationship Id="rId4" Type="http://schemas.openxmlformats.org/officeDocument/2006/relationships/hyperlink" Target="https://oec.cybozu.com/g/bulletin/view.csp?cid=16&amp;aid=1482" TargetMode="Externa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qiita.com/RyoWakabayashi/private/067ae96c8d1e75c1f609" TargetMode="External"/><Relationship Id="rId7" Type="http://schemas.openxmlformats.org/officeDocument/2006/relationships/hyperlink" Target="https://oec.cybozu.com/g/bulletin/view.csp?cid=18&amp;aid=1488" TargetMode="External"/><Relationship Id="rId2" Type="http://schemas.openxmlformats.org/officeDocument/2006/relationships/hyperlink" Target="https://oec.cybozu.com/g/bulletin/view.csp?cid=7&amp;aid=1495" TargetMode="External"/><Relationship Id="rId1" Type="http://schemas.openxmlformats.org/officeDocument/2006/relationships/hyperlink" Target="https://oec.cybozu.com/g/bulletin/view.csp?cid=7&amp;aid=1493" TargetMode="External"/><Relationship Id="rId6" Type="http://schemas.openxmlformats.org/officeDocument/2006/relationships/hyperlink" Target="https://oec.cybozu.com/g/bulletin/view.csp?cid=16&amp;aid=1482" TargetMode="External"/><Relationship Id="rId5" Type="http://schemas.openxmlformats.org/officeDocument/2006/relationships/hyperlink" Target="https://oec.cybozu.com/g/bulletin/view.csp?cid=9&amp;aid=1385" TargetMode="External"/><Relationship Id="rId4" Type="http://schemas.openxmlformats.org/officeDocument/2006/relationships/hyperlink" Target="https://www.oitabank.co.jp/topics/seminar/article/20240530.htm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oec.cybozu.com/g/bulletin/view.csp?aid=1430" TargetMode="External"/><Relationship Id="rId2" Type="http://schemas.openxmlformats.org/officeDocument/2006/relationships/hyperlink" Target="https://oec.cybozu.com/g/bulletin/view.csp?aid=1517" TargetMode="External"/><Relationship Id="rId1" Type="http://schemas.openxmlformats.org/officeDocument/2006/relationships/hyperlink" Target="https://oec.cybozu.com/g/bulletin/view.csp?cid=3&amp;aid=1502" TargetMode="External"/><Relationship Id="rId6" Type="http://schemas.openxmlformats.org/officeDocument/2006/relationships/printerSettings" Target="../printerSettings/printerSettings12.bin"/><Relationship Id="rId5" Type="http://schemas.openxmlformats.org/officeDocument/2006/relationships/hyperlink" Target="https://oeccojp-my.sharepoint.com/:p:/g/personal/s2abe_oec_co_jp/EW67A1nFCe9EuzlIGutHhUUBGMseD9VPsxQ0_5sMAkQhMw?e=ilDWPC" TargetMode="External"/><Relationship Id="rId4" Type="http://schemas.openxmlformats.org/officeDocument/2006/relationships/hyperlink" Target="https://oec.cybozu.com/g/bulletin/view.csp?cid=9&amp;aid=1385"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nopa.or.jp/prize/index.html" TargetMode="External"/><Relationship Id="rId2" Type="http://schemas.openxmlformats.org/officeDocument/2006/relationships/hyperlink" Target="https://oec.cybozu.com/g/bulletin/view.csp?cid=9&amp;aid=1385" TargetMode="External"/><Relationship Id="rId1" Type="http://schemas.openxmlformats.org/officeDocument/2006/relationships/hyperlink" Target="https://oec.cybozu.com/g/bulletin/view.csp?cid=7&amp;aid=1538" TargetMode="External"/><Relationship Id="rId4"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3.xml.rels><?xml version="1.0" encoding="UTF-8" standalone="yes"?>
<Relationships xmlns="http://schemas.openxmlformats.org/package/2006/relationships"><Relationship Id="rId13" Type="http://schemas.openxmlformats.org/officeDocument/2006/relationships/hyperlink" Target="17_&#20061;&#24030;&#12499;&#12472;&#12493;&#12473;&#12503;&#12525;&#12487;&#12517;&#12540;&#12473;&#37096;" TargetMode="External"/><Relationship Id="rId18" Type="http://schemas.openxmlformats.org/officeDocument/2006/relationships/hyperlink" Target="07_&#32076;&#21942;&#25126;&#30053;&#12539;&#31649;&#29702;&#12539;&#36001;&#21209;&#32113;&#25324;&#37096;" TargetMode="External"/><Relationship Id="rId26" Type="http://schemas.openxmlformats.org/officeDocument/2006/relationships/hyperlink" Target="37_&#20304;&#34276;&#22519;&#34892;&#24441;&#21729;" TargetMode="External"/><Relationship Id="rId39" Type="http://schemas.openxmlformats.org/officeDocument/2006/relationships/hyperlink" Target="14_&#27161;&#28310;&#21270;&#12539;&#12460;&#12496;&#12513;&#12531;&#12488;&#12463;&#12521;&#12454;&#12489;&#25512;&#36914;&#37096;" TargetMode="External"/><Relationship Id="rId21" Type="http://schemas.openxmlformats.org/officeDocument/2006/relationships/hyperlink" Target="09_&#20844;&#20849;&#31532;2&#12503;&#12525;&#12487;&#12517;&#12540;&#12473;&#37096;" TargetMode="External"/><Relationship Id="rId34" Type="http://schemas.openxmlformats.org/officeDocument/2006/relationships/hyperlink" Target="19_&#12471;&#12473;&#12486;&#12512;&#12469;&#12540;&#12499;&#12473;&#37096;" TargetMode="External"/><Relationship Id="rId7" Type="http://schemas.openxmlformats.org/officeDocument/2006/relationships/hyperlink" Target="22_DX&#12503;&#12525;&#12487;&#12517;&#12540;&#12473;&#20107;&#26989;&#37096;" TargetMode="External"/><Relationship Id="rId2" Type="http://schemas.openxmlformats.org/officeDocument/2006/relationships/hyperlink" Target="02_&#20154;&#20107;&#37096;" TargetMode="External"/><Relationship Id="rId16" Type="http://schemas.openxmlformats.org/officeDocument/2006/relationships/hyperlink" Target="13_IT&#12469;&#12540;&#12499;&#12473;&#12510;&#12493;&#12472;&#12513;&#12531;&#12488;&#37096;" TargetMode="External"/><Relationship Id="rId20" Type="http://schemas.openxmlformats.org/officeDocument/2006/relationships/hyperlink" Target="10_&#20844;&#20849;DX&#25512;&#36914;&#37096;" TargetMode="External"/><Relationship Id="rId29" Type="http://schemas.openxmlformats.org/officeDocument/2006/relationships/hyperlink" Target="39_&#27827;&#37326;&#21462;&#32224;&#24441;" TargetMode="External"/><Relationship Id="rId41" Type="http://schemas.openxmlformats.org/officeDocument/2006/relationships/printerSettings" Target="../printerSettings/printerSettings55.bin"/><Relationship Id="rId1" Type="http://schemas.openxmlformats.org/officeDocument/2006/relationships/hyperlink" Target="file:///\\10.100.1.232\oec1\LEVEL_C_UP\CU250_&#26989;&#21209;&#36913;&#22577;V2.0\2024&#24180;&#24230;\01_&#32207;&#21209;&#37096;" TargetMode="External"/><Relationship Id="rId6" Type="http://schemas.openxmlformats.org/officeDocument/2006/relationships/hyperlink" Target="06_&#36001;&#21209;&#37096;" TargetMode="External"/><Relationship Id="rId11" Type="http://schemas.openxmlformats.org/officeDocument/2006/relationships/hyperlink" Target="19_&#12471;&#12473;&#12486;&#12512;&#12469;&#12540;&#12499;&#12473;&#37096;" TargetMode="External"/><Relationship Id="rId24" Type="http://schemas.openxmlformats.org/officeDocument/2006/relationships/hyperlink" Target="40_&#23433;&#26481;&#24120;&#21209;" TargetMode="External"/><Relationship Id="rId32" Type="http://schemas.openxmlformats.org/officeDocument/2006/relationships/hyperlink" Target="21_DX&#25512;&#36914;&#37096;" TargetMode="External"/><Relationship Id="rId37" Type="http://schemas.openxmlformats.org/officeDocument/2006/relationships/hyperlink" Target="12_&#20844;&#20849;&#12499;&#12472;&#12493;&#12473;&#20107;&#26989;&#37096;" TargetMode="External"/><Relationship Id="rId40" Type="http://schemas.openxmlformats.org/officeDocument/2006/relationships/hyperlink" Target="07_&#32076;&#21942;&#25126;&#30053;&#12539;&#31649;&#29702;&#12539;&#36001;&#21209;&#32113;&#25324;&#37096;" TargetMode="External"/><Relationship Id="rId5" Type="http://schemas.openxmlformats.org/officeDocument/2006/relationships/hyperlink" Target="05_&#32076;&#21942;&#31649;&#29702;&#37096;" TargetMode="External"/><Relationship Id="rId15" Type="http://schemas.openxmlformats.org/officeDocument/2006/relationships/hyperlink" Target="12_&#20844;&#20849;&#12499;&#12472;&#12493;&#12473;&#20107;&#26989;&#37096;" TargetMode="External"/><Relationship Id="rId23" Type="http://schemas.openxmlformats.org/officeDocument/2006/relationships/hyperlink" Target="41_&#23713;&#30000;&#24120;&#21209;" TargetMode="External"/><Relationship Id="rId28" Type="http://schemas.openxmlformats.org/officeDocument/2006/relationships/hyperlink" Target="file:///\\10.100.1.232\oec1\LEVEL_C_UP\CU250_&#26989;&#21209;&#36913;&#22577;V2.0\2024&#24180;&#24230;\42_&#21152;&#34276;&#31038;&#38263;" TargetMode="External"/><Relationship Id="rId36" Type="http://schemas.openxmlformats.org/officeDocument/2006/relationships/hyperlink" Target="17_&#20061;&#24030;&#12499;&#12472;&#12493;&#12473;&#12503;&#12525;&#12487;&#12517;&#12540;&#12473;&#37096;" TargetMode="External"/><Relationship Id="rId10" Type="http://schemas.openxmlformats.org/officeDocument/2006/relationships/hyperlink" Target="20_DX&#12539;&#28023;&#22806;&#36899;&#25658;&#25512;&#36914;&#23460;" TargetMode="External"/><Relationship Id="rId19" Type="http://schemas.openxmlformats.org/officeDocument/2006/relationships/hyperlink" Target="11_&#31038;&#20250;&#12452;&#12531;&#12501;&#12521;&#12469;&#12540;&#12499;&#12473;&#37096;" TargetMode="External"/><Relationship Id="rId31" Type="http://schemas.openxmlformats.org/officeDocument/2006/relationships/hyperlink" Target="15_IT&#12469;&#12540;&#12499;&#12473;&#20107;&#26989;&#37096;" TargetMode="External"/><Relationship Id="rId4" Type="http://schemas.openxmlformats.org/officeDocument/2006/relationships/hyperlink" Target="04_&#32076;&#21942;&#25126;&#30053;&#23460;" TargetMode="External"/><Relationship Id="rId9" Type="http://schemas.openxmlformats.org/officeDocument/2006/relationships/hyperlink" Target="21_DX&#25512;&#36914;&#37096;" TargetMode="External"/><Relationship Id="rId14" Type="http://schemas.openxmlformats.org/officeDocument/2006/relationships/hyperlink" Target="16_DX&#12499;&#12472;&#12493;&#12473;&#12503;&#12525;&#12487;&#12517;&#12540;&#12473;&#37096;" TargetMode="External"/><Relationship Id="rId22" Type="http://schemas.openxmlformats.org/officeDocument/2006/relationships/hyperlink" Target="08_&#20844;&#20849;&#31532;1&#12503;&#12525;&#12487;&#12517;&#12540;&#12473;&#37096;" TargetMode="External"/><Relationship Id="rId27" Type="http://schemas.openxmlformats.org/officeDocument/2006/relationships/hyperlink" Target="23_&#26481;&#20140;&#26412;&#31038;&#12510;&#12493;&#12472;&#12513;&#12531;&#12488;&#25512;&#36914;&#37096;" TargetMode="External"/><Relationship Id="rId30" Type="http://schemas.openxmlformats.org/officeDocument/2006/relationships/hyperlink" Target="22_DX&#12503;&#12525;&#12487;&#12517;&#12540;&#12473;&#20107;&#26989;&#37096;" TargetMode="External"/><Relationship Id="rId35" Type="http://schemas.openxmlformats.org/officeDocument/2006/relationships/hyperlink" Target="18_DX&#12499;&#12472;&#12493;&#12473;&#12477;&#12522;&#12517;&#12540;&#12471;&#12519;&#12531;&#37096;" TargetMode="External"/><Relationship Id="rId8" Type="http://schemas.openxmlformats.org/officeDocument/2006/relationships/hyperlink" Target="15_IT&#12469;&#12540;&#12499;&#12473;&#20107;&#26989;&#37096;" TargetMode="External"/><Relationship Id="rId3" Type="http://schemas.openxmlformats.org/officeDocument/2006/relationships/hyperlink" Target="03_&#32207;&#21209;&#12539;&#20154;&#20107;&#32113;&#25324;&#37096;" TargetMode="External"/><Relationship Id="rId12" Type="http://schemas.openxmlformats.org/officeDocument/2006/relationships/hyperlink" Target="18_DX&#12499;&#12472;&#12493;&#12473;&#12477;&#12522;&#12517;&#12540;&#12471;&#12519;&#12531;&#37096;" TargetMode="External"/><Relationship Id="rId17" Type="http://schemas.openxmlformats.org/officeDocument/2006/relationships/hyperlink" Target="14_&#27161;&#28310;&#21270;&#12539;&#12460;&#12496;&#12513;&#12531;&#12488;&#12463;&#12521;&#12454;&#12489;&#25512;&#36914;&#37096;" TargetMode="External"/><Relationship Id="rId25" Type="http://schemas.openxmlformats.org/officeDocument/2006/relationships/hyperlink" Target="38_&#20013;&#23798;&#24120;&#21209;&#22519;&#34892;&#24441;&#21729;" TargetMode="External"/><Relationship Id="rId33" Type="http://schemas.openxmlformats.org/officeDocument/2006/relationships/hyperlink" Target="20_DX&#12539;&#28023;&#22806;&#36899;&#25658;&#25512;&#36914;&#23460;" TargetMode="External"/><Relationship Id="rId38" Type="http://schemas.openxmlformats.org/officeDocument/2006/relationships/hyperlink" Target="13_IT&#12469;&#12540;&#12499;&#12473;&#12510;&#12493;&#12472;&#12513;&#12531;&#12488;&#37096;" TargetMode="Externa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935F9-4D91-4217-A8A2-34B7C80A6B2E}">
  <sheetPr codeName="Sheet1">
    <tabColor rgb="FFFFC000"/>
  </sheetPr>
  <dimension ref="B1:I54"/>
  <sheetViews>
    <sheetView showGridLines="0" topLeftCell="A2" workbookViewId="0">
      <selection activeCell="I13" sqref="I13"/>
    </sheetView>
  </sheetViews>
  <sheetFormatPr defaultColWidth="8.69921875" defaultRowHeight="14.4" outlineLevelRow="1" outlineLevelCol="1" x14ac:dyDescent="0.45"/>
  <cols>
    <col min="1" max="1" width="3.8984375" style="1" customWidth="1"/>
    <col min="2" max="2" width="7.19921875" style="2" customWidth="1"/>
    <col min="3" max="3" width="3.8984375" style="1" hidden="1" customWidth="1" outlineLevel="1"/>
    <col min="4" max="4" width="11.19921875" style="2" customWidth="1" collapsed="1"/>
    <col min="5" max="5" width="4.5" style="2" customWidth="1"/>
    <col min="6" max="6" width="3.09765625" style="2" bestFit="1" customWidth="1"/>
    <col min="7" max="7" width="9.19921875" style="2" bestFit="1" customWidth="1"/>
    <col min="8" max="8" width="4.5" style="2" customWidth="1"/>
    <col min="9" max="9" width="18.69921875" style="2" customWidth="1"/>
    <col min="10" max="16384" width="8.69921875" style="1"/>
  </cols>
  <sheetData>
    <row r="1" spans="2:9" hidden="1" outlineLevel="1" x14ac:dyDescent="0.45">
      <c r="C1" s="1">
        <f>MAX(C5:C600)</f>
        <v>50</v>
      </c>
      <c r="D1" s="2">
        <v>50</v>
      </c>
      <c r="E1" s="134">
        <f>D1</f>
        <v>50</v>
      </c>
    </row>
    <row r="2" spans="2:9" ht="15" collapsed="1" thickBot="1" x14ac:dyDescent="0.5"/>
    <row r="3" spans="2:9" ht="23.4" thickBot="1" x14ac:dyDescent="0.5">
      <c r="B3" s="236" t="s">
        <v>0</v>
      </c>
      <c r="C3" s="54"/>
      <c r="D3" s="6" t="s">
        <v>1</v>
      </c>
      <c r="E3" s="7"/>
      <c r="F3" s="8"/>
      <c r="G3" s="8"/>
      <c r="H3" s="7"/>
      <c r="I3" s="9"/>
    </row>
    <row r="4" spans="2:9" x14ac:dyDescent="0.45">
      <c r="B4" s="237"/>
      <c r="D4" s="62" t="s">
        <v>2</v>
      </c>
      <c r="E4" s="5"/>
      <c r="F4" s="5"/>
      <c r="G4" s="5" t="s">
        <v>3</v>
      </c>
      <c r="H4" s="5"/>
      <c r="I4" s="55" t="s">
        <v>4</v>
      </c>
    </row>
    <row r="5" spans="2:9" ht="18" customHeight="1" x14ac:dyDescent="0.45">
      <c r="B5" s="60"/>
      <c r="C5" s="1">
        <v>1</v>
      </c>
      <c r="D5" s="63">
        <f>IFERROR(VLOOKUP($C5,日!$I:$L,3,FALSE),"")</f>
        <v>45383</v>
      </c>
      <c r="E5" s="4" t="str">
        <f t="shared" ref="E5:E25" si="0">"("&amp;TEXT(D5,"aaa")&amp;")"</f>
        <v>(月)</v>
      </c>
      <c r="F5" s="3" t="s">
        <v>5</v>
      </c>
      <c r="G5" s="4">
        <f>IFERROR(VLOOKUP($C5,日!$I:$L,4,FALSE),"")</f>
        <v>45387</v>
      </c>
      <c r="H5" s="4" t="str">
        <f t="shared" ref="H5:H17" si="1">"("&amp;TEXT(G5,"aaa")&amp;")"</f>
        <v>(金)</v>
      </c>
      <c r="I5" s="56" t="str">
        <f>HYPERLINK("#"&amp;C5&amp;"!A1","こちら")</f>
        <v>こちら</v>
      </c>
    </row>
    <row r="6" spans="2:9" ht="18" customHeight="1" x14ac:dyDescent="0.45">
      <c r="B6" s="60"/>
      <c r="C6" s="1">
        <v>2</v>
      </c>
      <c r="D6" s="63">
        <f>IFERROR(VLOOKUP($C6,日!$I:$L,3,FALSE),"")</f>
        <v>45390</v>
      </c>
      <c r="E6" s="4" t="str">
        <f t="shared" si="0"/>
        <v>(月)</v>
      </c>
      <c r="F6" s="3" t="s">
        <v>5</v>
      </c>
      <c r="G6" s="4">
        <f>IFERROR(VLOOKUP($C6,日!$I:$L,4,FALSE),"")</f>
        <v>45394</v>
      </c>
      <c r="H6" s="4" t="str">
        <f t="shared" si="1"/>
        <v>(金)</v>
      </c>
      <c r="I6" s="56" t="str">
        <f t="shared" ref="I6:I25" si="2">HYPERLINK("#"&amp;C6&amp;"!A1","こちら")</f>
        <v>こちら</v>
      </c>
    </row>
    <row r="7" spans="2:9" ht="18" customHeight="1" x14ac:dyDescent="0.45">
      <c r="B7" s="60"/>
      <c r="C7" s="1">
        <v>3</v>
      </c>
      <c r="D7" s="63">
        <f>IFERROR(VLOOKUP($C7,日!$I:$L,3,FALSE),"")</f>
        <v>45397</v>
      </c>
      <c r="E7" s="4" t="str">
        <f t="shared" si="0"/>
        <v>(月)</v>
      </c>
      <c r="F7" s="3" t="s">
        <v>5</v>
      </c>
      <c r="G7" s="4">
        <f>IFERROR(VLOOKUP($C7,日!$I:$L,4,FALSE),"")</f>
        <v>45401</v>
      </c>
      <c r="H7" s="4" t="str">
        <f t="shared" si="1"/>
        <v>(金)</v>
      </c>
      <c r="I7" s="56" t="str">
        <f t="shared" si="2"/>
        <v>こちら</v>
      </c>
    </row>
    <row r="8" spans="2:9" ht="18" customHeight="1" x14ac:dyDescent="0.45">
      <c r="B8" s="60"/>
      <c r="C8" s="1">
        <v>4</v>
      </c>
      <c r="D8" s="63">
        <f>IFERROR(VLOOKUP($C8,日!$I:$L,3,FALSE),"")</f>
        <v>45404</v>
      </c>
      <c r="E8" s="4" t="str">
        <f t="shared" si="0"/>
        <v>(月)</v>
      </c>
      <c r="F8" s="3" t="s">
        <v>5</v>
      </c>
      <c r="G8" s="4">
        <f>IFERROR(VLOOKUP($C8,日!$I:$L,4,FALSE),"")</f>
        <v>45408</v>
      </c>
      <c r="H8" s="4" t="str">
        <f t="shared" si="1"/>
        <v>(金)</v>
      </c>
      <c r="I8" s="56" t="str">
        <f t="shared" si="2"/>
        <v>こちら</v>
      </c>
    </row>
    <row r="9" spans="2:9" ht="18" customHeight="1" x14ac:dyDescent="0.45">
      <c r="B9" s="60"/>
      <c r="C9" s="1">
        <v>5</v>
      </c>
      <c r="D9" s="63">
        <f>IFERROR(VLOOKUP($C9,日!$I:$L,3,FALSE),"")</f>
        <v>45412</v>
      </c>
      <c r="E9" s="4" t="str">
        <f t="shared" si="0"/>
        <v>(火)</v>
      </c>
      <c r="F9" s="3" t="s">
        <v>5</v>
      </c>
      <c r="G9" s="4">
        <f>IFERROR(VLOOKUP($C9,日!$I:$L,4,FALSE),"")</f>
        <v>45422</v>
      </c>
      <c r="H9" s="4" t="str">
        <f t="shared" si="1"/>
        <v>(金)</v>
      </c>
      <c r="I9" s="56" t="str">
        <f t="shared" si="2"/>
        <v>こちら</v>
      </c>
    </row>
    <row r="10" spans="2:9" ht="18" customHeight="1" x14ac:dyDescent="0.45">
      <c r="B10" s="60"/>
      <c r="C10" s="1">
        <v>6</v>
      </c>
      <c r="D10" s="63">
        <f>IFERROR(VLOOKUP($C10,日!$I:$L,3,FALSE),"")</f>
        <v>45425</v>
      </c>
      <c r="E10" s="4" t="str">
        <f t="shared" si="0"/>
        <v>(月)</v>
      </c>
      <c r="F10" s="3" t="s">
        <v>5</v>
      </c>
      <c r="G10" s="4">
        <f>IFERROR(VLOOKUP($C10,日!$I:$L,4,FALSE),"")</f>
        <v>45429</v>
      </c>
      <c r="H10" s="4" t="str">
        <f t="shared" si="1"/>
        <v>(金)</v>
      </c>
      <c r="I10" s="56" t="str">
        <f t="shared" si="2"/>
        <v>こちら</v>
      </c>
    </row>
    <row r="11" spans="2:9" ht="18" customHeight="1" x14ac:dyDescent="0.45">
      <c r="B11" s="60"/>
      <c r="C11" s="1">
        <v>7</v>
      </c>
      <c r="D11" s="63">
        <f>IFERROR(VLOOKUP($C11,日!$I:$L,3,FALSE),"")</f>
        <v>45432</v>
      </c>
      <c r="E11" s="4" t="str">
        <f t="shared" si="0"/>
        <v>(月)</v>
      </c>
      <c r="F11" s="3" t="s">
        <v>5</v>
      </c>
      <c r="G11" s="4">
        <f>IFERROR(VLOOKUP($C11,日!$I:$L,4,FALSE),"")</f>
        <v>45436</v>
      </c>
      <c r="H11" s="4" t="str">
        <f t="shared" si="1"/>
        <v>(金)</v>
      </c>
      <c r="I11" s="56" t="str">
        <f t="shared" si="2"/>
        <v>こちら</v>
      </c>
    </row>
    <row r="12" spans="2:9" ht="18" customHeight="1" x14ac:dyDescent="0.45">
      <c r="B12" s="60"/>
      <c r="C12" s="1">
        <v>8</v>
      </c>
      <c r="D12" s="63">
        <f>IFERROR(VLOOKUP($C12,日!$I:$L,3,FALSE),"")</f>
        <v>45439</v>
      </c>
      <c r="E12" s="4" t="str">
        <f t="shared" si="0"/>
        <v>(月)</v>
      </c>
      <c r="F12" s="3" t="s">
        <v>5</v>
      </c>
      <c r="G12" s="4">
        <f>IFERROR(VLOOKUP($C12,日!$I:$L,4,FALSE),"")</f>
        <v>45443</v>
      </c>
      <c r="H12" s="4" t="str">
        <f t="shared" si="1"/>
        <v>(金)</v>
      </c>
      <c r="I12" s="217" t="str">
        <f>HYPERLINK("#"&amp;C12&amp;"!A1","こちら")</f>
        <v>こちら</v>
      </c>
    </row>
    <row r="13" spans="2:9" ht="18" customHeight="1" x14ac:dyDescent="0.45">
      <c r="B13" s="60" t="s">
        <v>6</v>
      </c>
      <c r="C13" s="1">
        <v>9</v>
      </c>
      <c r="D13" s="63">
        <f>IFERROR(VLOOKUP($C13,日!$I:$L,3,FALSE),"")</f>
        <v>45446</v>
      </c>
      <c r="E13" s="4" t="str">
        <f t="shared" si="0"/>
        <v>(月)</v>
      </c>
      <c r="F13" s="3" t="s">
        <v>5</v>
      </c>
      <c r="G13" s="4">
        <f>IFERROR(VLOOKUP($C13,日!$I:$L,4,FALSE),"")</f>
        <v>45450</v>
      </c>
      <c r="H13" s="4" t="str">
        <f t="shared" si="1"/>
        <v>(金)</v>
      </c>
      <c r="I13" s="228" t="str">
        <f>HYPERLINK("#"&amp;C13&amp;"!A1","こちら")</f>
        <v>こちら</v>
      </c>
    </row>
    <row r="14" spans="2:9" ht="18" customHeight="1" x14ac:dyDescent="0.45">
      <c r="B14" s="60"/>
      <c r="C14" s="1">
        <v>10</v>
      </c>
      <c r="D14" s="63">
        <f>IFERROR(VLOOKUP($C14,日!$I:$L,3,FALSE),"")</f>
        <v>45453</v>
      </c>
      <c r="E14" s="4" t="str">
        <f t="shared" si="0"/>
        <v>(月)</v>
      </c>
      <c r="F14" s="3" t="s">
        <v>5</v>
      </c>
      <c r="G14" s="4">
        <f>IFERROR(VLOOKUP($C14,日!$I:$L,4,FALSE),"")</f>
        <v>45457</v>
      </c>
      <c r="H14" s="4" t="str">
        <f t="shared" si="1"/>
        <v>(金)</v>
      </c>
      <c r="I14" s="56" t="str">
        <f t="shared" si="2"/>
        <v>こちら</v>
      </c>
    </row>
    <row r="15" spans="2:9" ht="18" customHeight="1" x14ac:dyDescent="0.45">
      <c r="B15" s="60"/>
      <c r="C15" s="1">
        <v>11</v>
      </c>
      <c r="D15" s="63">
        <f>IFERROR(VLOOKUP($C15,日!$I:$L,3,FALSE),"")</f>
        <v>45460</v>
      </c>
      <c r="E15" s="4" t="str">
        <f t="shared" si="0"/>
        <v>(月)</v>
      </c>
      <c r="F15" s="3" t="s">
        <v>5</v>
      </c>
      <c r="G15" s="4">
        <f>IFERROR(VLOOKUP($C15,日!$I:$L,4,FALSE),"")</f>
        <v>45464</v>
      </c>
      <c r="H15" s="4" t="str">
        <f t="shared" si="1"/>
        <v>(金)</v>
      </c>
      <c r="I15" s="56" t="str">
        <f t="shared" si="2"/>
        <v>こちら</v>
      </c>
    </row>
    <row r="16" spans="2:9" ht="18" customHeight="1" x14ac:dyDescent="0.45">
      <c r="B16" s="60"/>
      <c r="C16" s="1">
        <v>12</v>
      </c>
      <c r="D16" s="63">
        <f>IFERROR(VLOOKUP($C16,日!$I:$L,3,FALSE),"")</f>
        <v>45467</v>
      </c>
      <c r="E16" s="4" t="str">
        <f t="shared" si="0"/>
        <v>(月)</v>
      </c>
      <c r="F16" s="3" t="s">
        <v>5</v>
      </c>
      <c r="G16" s="4">
        <f>IFERROR(VLOOKUP($C16,日!$I:$L,4,FALSE),"")</f>
        <v>45471</v>
      </c>
      <c r="H16" s="4" t="str">
        <f t="shared" si="1"/>
        <v>(金)</v>
      </c>
      <c r="I16" s="56" t="str">
        <f t="shared" si="2"/>
        <v>こちら</v>
      </c>
    </row>
    <row r="17" spans="2:9" ht="18" customHeight="1" x14ac:dyDescent="0.45">
      <c r="B17" s="60"/>
      <c r="C17" s="1">
        <v>13</v>
      </c>
      <c r="D17" s="63">
        <f>IFERROR(VLOOKUP($C17,日!$I:$L,3,FALSE),"")</f>
        <v>45474</v>
      </c>
      <c r="E17" s="4" t="str">
        <f t="shared" si="0"/>
        <v>(月)</v>
      </c>
      <c r="F17" s="3" t="s">
        <v>5</v>
      </c>
      <c r="G17" s="4">
        <f>IFERROR(VLOOKUP($C17,日!$I:$L,4,FALSE),"")</f>
        <v>45478</v>
      </c>
      <c r="H17" s="4" t="str">
        <f t="shared" si="1"/>
        <v>(金)</v>
      </c>
      <c r="I17" s="56" t="str">
        <f t="shared" si="2"/>
        <v>こちら</v>
      </c>
    </row>
    <row r="18" spans="2:9" ht="18" customHeight="1" x14ac:dyDescent="0.45">
      <c r="B18" s="60"/>
      <c r="C18" s="1">
        <v>14</v>
      </c>
      <c r="D18" s="63">
        <f>IFERROR(VLOOKUP($C18,日!$I:$L,3,FALSE),"")</f>
        <v>45481</v>
      </c>
      <c r="E18" s="4" t="str">
        <f t="shared" si="0"/>
        <v>(月)</v>
      </c>
      <c r="F18" s="3" t="s">
        <v>5</v>
      </c>
      <c r="G18" s="4">
        <f>IFERROR(VLOOKUP($C18,日!$I:$L,4,FALSE),"")</f>
        <v>45485</v>
      </c>
      <c r="H18" s="4" t="str">
        <f>"("&amp;TEXT(G18,"aaa")&amp;")"</f>
        <v>(金)</v>
      </c>
      <c r="I18" s="56" t="str">
        <f t="shared" si="2"/>
        <v>こちら</v>
      </c>
    </row>
    <row r="19" spans="2:9" ht="18" customHeight="1" x14ac:dyDescent="0.45">
      <c r="B19" s="60"/>
      <c r="C19" s="1">
        <v>15</v>
      </c>
      <c r="D19" s="63">
        <f>IFERROR(VLOOKUP($C19,日!$I:$L,3,FALSE),"")</f>
        <v>45489</v>
      </c>
      <c r="E19" s="4" t="str">
        <f t="shared" si="0"/>
        <v>(火)</v>
      </c>
      <c r="F19" s="3" t="s">
        <v>5</v>
      </c>
      <c r="G19" s="4">
        <f>IFERROR(VLOOKUP($C19,日!$I:$L,4,FALSE),"")</f>
        <v>45492</v>
      </c>
      <c r="H19" s="4" t="str">
        <f t="shared" ref="H19:H25" si="3">"("&amp;TEXT(G19,"aaa")&amp;")"</f>
        <v>(金)</v>
      </c>
      <c r="I19" s="56" t="str">
        <f t="shared" si="2"/>
        <v>こちら</v>
      </c>
    </row>
    <row r="20" spans="2:9" ht="18" customHeight="1" x14ac:dyDescent="0.45">
      <c r="B20" s="60"/>
      <c r="C20" s="131">
        <v>16</v>
      </c>
      <c r="D20" s="63">
        <f>IFERROR(VLOOKUP($C20,日!$I:$L,3,FALSE),"")</f>
        <v>45495</v>
      </c>
      <c r="E20" s="4" t="str">
        <f t="shared" si="0"/>
        <v>(月)</v>
      </c>
      <c r="F20" s="3" t="s">
        <v>5</v>
      </c>
      <c r="G20" s="4">
        <f>IFERROR(VLOOKUP($C20,日!$I:$L,4,FALSE),"")</f>
        <v>45499</v>
      </c>
      <c r="H20" s="4" t="str">
        <f t="shared" si="3"/>
        <v>(金)</v>
      </c>
      <c r="I20" s="56" t="str">
        <f t="shared" si="2"/>
        <v>こちら</v>
      </c>
    </row>
    <row r="21" spans="2:9" ht="18" customHeight="1" x14ac:dyDescent="0.45">
      <c r="B21" s="60"/>
      <c r="C21" s="131">
        <v>17</v>
      </c>
      <c r="D21" s="63">
        <f>IFERROR(VLOOKUP($C21,日!$I:$L,3,FALSE),"")</f>
        <v>45502</v>
      </c>
      <c r="E21" s="4" t="str">
        <f t="shared" si="0"/>
        <v>(月)</v>
      </c>
      <c r="F21" s="3" t="s">
        <v>5</v>
      </c>
      <c r="G21" s="4">
        <f>IFERROR(VLOOKUP($C21,日!$I:$L,4,FALSE),"")</f>
        <v>45506</v>
      </c>
      <c r="H21" s="4" t="str">
        <f t="shared" si="3"/>
        <v>(金)</v>
      </c>
      <c r="I21" s="56" t="str">
        <f t="shared" si="2"/>
        <v>こちら</v>
      </c>
    </row>
    <row r="22" spans="2:9" ht="18" customHeight="1" x14ac:dyDescent="0.45">
      <c r="B22" s="60"/>
      <c r="C22" s="131">
        <v>18</v>
      </c>
      <c r="D22" s="63">
        <f>IFERROR(VLOOKUP($C22,日!$I:$L,3,FALSE),"")</f>
        <v>45509</v>
      </c>
      <c r="E22" s="4" t="str">
        <f t="shared" si="0"/>
        <v>(月)</v>
      </c>
      <c r="F22" s="3" t="s">
        <v>5</v>
      </c>
      <c r="G22" s="4">
        <f>IFERROR(VLOOKUP($C22,日!$I:$L,4,FALSE),"")</f>
        <v>45513</v>
      </c>
      <c r="H22" s="4" t="str">
        <f t="shared" si="3"/>
        <v>(金)</v>
      </c>
      <c r="I22" s="56" t="str">
        <f t="shared" si="2"/>
        <v>こちら</v>
      </c>
    </row>
    <row r="23" spans="2:9" ht="18" customHeight="1" x14ac:dyDescent="0.45">
      <c r="B23" s="60"/>
      <c r="C23" s="131">
        <v>19</v>
      </c>
      <c r="D23" s="63">
        <f>IFERROR(VLOOKUP($C23,日!$I:$L,3,FALSE),"")</f>
        <v>45517</v>
      </c>
      <c r="E23" s="4" t="str">
        <f t="shared" si="0"/>
        <v>(火)</v>
      </c>
      <c r="F23" s="3" t="s">
        <v>5</v>
      </c>
      <c r="G23" s="4">
        <f>IFERROR(VLOOKUP($C23,日!$I:$L,4,FALSE),"")</f>
        <v>45520</v>
      </c>
      <c r="H23" s="4" t="str">
        <f t="shared" si="3"/>
        <v>(金)</v>
      </c>
      <c r="I23" s="56" t="str">
        <f t="shared" si="2"/>
        <v>こちら</v>
      </c>
    </row>
    <row r="24" spans="2:9" ht="18" customHeight="1" x14ac:dyDescent="0.45">
      <c r="B24" s="126"/>
      <c r="C24" s="131">
        <v>20</v>
      </c>
      <c r="D24" s="127">
        <f>IFERROR(VLOOKUP($C24,日!$I:$L,3,FALSE),"")</f>
        <v>45523</v>
      </c>
      <c r="E24" s="128" t="str">
        <f t="shared" si="0"/>
        <v>(月)</v>
      </c>
      <c r="F24" s="129" t="s">
        <v>5</v>
      </c>
      <c r="G24" s="128">
        <f>IFERROR(VLOOKUP($C24,日!$I:$L,4,FALSE),"")</f>
        <v>45527</v>
      </c>
      <c r="H24" s="128" t="str">
        <f t="shared" si="3"/>
        <v>(金)</v>
      </c>
      <c r="I24" s="130" t="str">
        <f t="shared" si="2"/>
        <v>こちら</v>
      </c>
    </row>
    <row r="25" spans="2:9" ht="18" customHeight="1" x14ac:dyDescent="0.45">
      <c r="B25" s="60"/>
      <c r="C25" s="131">
        <v>21</v>
      </c>
      <c r="D25" s="63">
        <f>IFERROR(VLOOKUP($C25,日!$I:$L,3,FALSE),"")</f>
        <v>45530</v>
      </c>
      <c r="E25" s="4" t="str">
        <f t="shared" si="0"/>
        <v>(月)</v>
      </c>
      <c r="F25" s="3" t="s">
        <v>5</v>
      </c>
      <c r="G25" s="4">
        <f>IFERROR(VLOOKUP($C25,日!$I:$L,4,FALSE),"")</f>
        <v>45534</v>
      </c>
      <c r="H25" s="4" t="str">
        <f t="shared" si="3"/>
        <v>(金)</v>
      </c>
      <c r="I25" s="56" t="str">
        <f t="shared" si="2"/>
        <v>こちら</v>
      </c>
    </row>
    <row r="26" spans="2:9" ht="18" customHeight="1" x14ac:dyDescent="0.45">
      <c r="B26" s="60"/>
      <c r="C26" s="131">
        <v>22</v>
      </c>
      <c r="D26" s="63">
        <f>IFERROR(VLOOKUP($C26,日!$I:$L,3,FALSE),"")</f>
        <v>45537</v>
      </c>
      <c r="E26" s="4" t="str">
        <f t="shared" ref="E26" si="4">"("&amp;TEXT(D26,"aaa")&amp;")"</f>
        <v>(月)</v>
      </c>
      <c r="F26" s="3" t="s">
        <v>5</v>
      </c>
      <c r="G26" s="4">
        <f>IFERROR(VLOOKUP($C26,日!$I:$L,4,FALSE),"")</f>
        <v>45541</v>
      </c>
      <c r="H26" s="4" t="str">
        <f t="shared" ref="H26" si="5">"("&amp;TEXT(G26,"aaa")&amp;")"</f>
        <v>(金)</v>
      </c>
      <c r="I26" s="56" t="str">
        <f t="shared" ref="I26" si="6">HYPERLINK("#"&amp;C26&amp;"!A1","こちら")</f>
        <v>こちら</v>
      </c>
    </row>
    <row r="27" spans="2:9" ht="18" customHeight="1" x14ac:dyDescent="0.45">
      <c r="B27" s="60"/>
      <c r="C27" s="131">
        <v>23</v>
      </c>
      <c r="D27" s="63">
        <f>IFERROR(VLOOKUP($C27,日!$I:$L,3,FALSE),"")</f>
        <v>45544</v>
      </c>
      <c r="E27" s="4" t="str">
        <f t="shared" ref="E27:E54" si="7">"("&amp;TEXT(D27,"aaa")&amp;")"</f>
        <v>(月)</v>
      </c>
      <c r="F27" s="3" t="s">
        <v>5</v>
      </c>
      <c r="G27" s="4">
        <f>IFERROR(VLOOKUP($C27,日!$I:$L,4,FALSE),"")</f>
        <v>45548</v>
      </c>
      <c r="H27" s="4" t="str">
        <f t="shared" ref="H27:H54" si="8">"("&amp;TEXT(G27,"aaa")&amp;")"</f>
        <v>(金)</v>
      </c>
      <c r="I27" s="56" t="str">
        <f t="shared" ref="I27:I54" si="9">HYPERLINK("#"&amp;C27&amp;"!A1","こちら")</f>
        <v>こちら</v>
      </c>
    </row>
    <row r="28" spans="2:9" ht="18" customHeight="1" x14ac:dyDescent="0.45">
      <c r="B28" s="60"/>
      <c r="C28" s="131">
        <v>24</v>
      </c>
      <c r="D28" s="63">
        <f>IFERROR(VLOOKUP($C28,日!$I:$L,3,FALSE),"")</f>
        <v>45552</v>
      </c>
      <c r="E28" s="4" t="str">
        <f t="shared" si="7"/>
        <v>(火)</v>
      </c>
      <c r="F28" s="3" t="s">
        <v>5</v>
      </c>
      <c r="G28" s="4">
        <f>IFERROR(VLOOKUP($C28,日!$I:$L,4,FALSE),"")</f>
        <v>45555</v>
      </c>
      <c r="H28" s="4" t="str">
        <f t="shared" si="8"/>
        <v>(金)</v>
      </c>
      <c r="I28" s="56" t="str">
        <f t="shared" si="9"/>
        <v>こちら</v>
      </c>
    </row>
    <row r="29" spans="2:9" ht="18" customHeight="1" x14ac:dyDescent="0.45">
      <c r="B29" s="60"/>
      <c r="C29" s="131">
        <v>25</v>
      </c>
      <c r="D29" s="63">
        <f>IFERROR(VLOOKUP($C29,日!$I:$L,3,FALSE),"")</f>
        <v>45559</v>
      </c>
      <c r="E29" s="4" t="str">
        <f t="shared" si="7"/>
        <v>(火)</v>
      </c>
      <c r="F29" s="3" t="s">
        <v>5</v>
      </c>
      <c r="G29" s="4">
        <f>IFERROR(VLOOKUP($C29,日!$I:$L,4,FALSE),"")</f>
        <v>45562</v>
      </c>
      <c r="H29" s="4" t="str">
        <f t="shared" si="8"/>
        <v>(金)</v>
      </c>
      <c r="I29" s="56" t="str">
        <f t="shared" si="9"/>
        <v>こちら</v>
      </c>
    </row>
    <row r="30" spans="2:9" ht="18" customHeight="1" x14ac:dyDescent="0.45">
      <c r="B30" s="60"/>
      <c r="C30" s="131">
        <v>26</v>
      </c>
      <c r="D30" s="63">
        <f>IFERROR(VLOOKUP($C30,日!$I:$L,3,FALSE),"")</f>
        <v>45565</v>
      </c>
      <c r="E30" s="4" t="str">
        <f t="shared" si="7"/>
        <v>(月)</v>
      </c>
      <c r="F30" s="3" t="s">
        <v>5</v>
      </c>
      <c r="G30" s="4">
        <f>IFERROR(VLOOKUP($C30,日!$I:$L,4,FALSE),"")</f>
        <v>45569</v>
      </c>
      <c r="H30" s="4" t="str">
        <f t="shared" si="8"/>
        <v>(金)</v>
      </c>
      <c r="I30" s="56" t="str">
        <f t="shared" si="9"/>
        <v>こちら</v>
      </c>
    </row>
    <row r="31" spans="2:9" ht="18" customHeight="1" x14ac:dyDescent="0.45">
      <c r="B31" s="60"/>
      <c r="C31" s="131">
        <v>27</v>
      </c>
      <c r="D31" s="63">
        <f>IFERROR(VLOOKUP($C31,日!$I:$L,3,FALSE),"")</f>
        <v>45572</v>
      </c>
      <c r="E31" s="4" t="str">
        <f t="shared" si="7"/>
        <v>(月)</v>
      </c>
      <c r="F31" s="3" t="s">
        <v>5</v>
      </c>
      <c r="G31" s="4">
        <f>IFERROR(VLOOKUP($C31,日!$I:$L,4,FALSE),"")</f>
        <v>45576</v>
      </c>
      <c r="H31" s="4" t="str">
        <f t="shared" si="8"/>
        <v>(金)</v>
      </c>
      <c r="I31" s="56" t="str">
        <f t="shared" si="9"/>
        <v>こちら</v>
      </c>
    </row>
    <row r="32" spans="2:9" ht="18" customHeight="1" x14ac:dyDescent="0.45">
      <c r="B32" s="60"/>
      <c r="C32" s="131">
        <v>28</v>
      </c>
      <c r="D32" s="63">
        <f>IFERROR(VLOOKUP($C32,日!$I:$L,3,FALSE),"")</f>
        <v>45580</v>
      </c>
      <c r="E32" s="4" t="str">
        <f t="shared" si="7"/>
        <v>(火)</v>
      </c>
      <c r="F32" s="3" t="s">
        <v>5</v>
      </c>
      <c r="G32" s="4">
        <f>IFERROR(VLOOKUP($C32,日!$I:$L,4,FALSE),"")</f>
        <v>45583</v>
      </c>
      <c r="H32" s="4" t="str">
        <f t="shared" si="8"/>
        <v>(金)</v>
      </c>
      <c r="I32" s="56" t="str">
        <f t="shared" si="9"/>
        <v>こちら</v>
      </c>
    </row>
    <row r="33" spans="2:9" ht="18" customHeight="1" x14ac:dyDescent="0.45">
      <c r="B33" s="60"/>
      <c r="C33" s="131">
        <v>29</v>
      </c>
      <c r="D33" s="63">
        <f>IFERROR(VLOOKUP($C33,日!$I:$L,3,FALSE),"")</f>
        <v>45586</v>
      </c>
      <c r="E33" s="4" t="str">
        <f t="shared" si="7"/>
        <v>(月)</v>
      </c>
      <c r="F33" s="3" t="s">
        <v>5</v>
      </c>
      <c r="G33" s="4">
        <f>IFERROR(VLOOKUP($C33,日!$I:$L,4,FALSE),"")</f>
        <v>45590</v>
      </c>
      <c r="H33" s="4" t="str">
        <f t="shared" si="8"/>
        <v>(金)</v>
      </c>
      <c r="I33" s="56" t="str">
        <f t="shared" si="9"/>
        <v>こちら</v>
      </c>
    </row>
    <row r="34" spans="2:9" ht="18" customHeight="1" x14ac:dyDescent="0.45">
      <c r="B34" s="60"/>
      <c r="C34" s="131">
        <v>30</v>
      </c>
      <c r="D34" s="63">
        <f>IFERROR(VLOOKUP($C34,日!$I:$L,3,FALSE),"")</f>
        <v>45593</v>
      </c>
      <c r="E34" s="4" t="str">
        <f t="shared" si="7"/>
        <v>(月)</v>
      </c>
      <c r="F34" s="3" t="s">
        <v>5</v>
      </c>
      <c r="G34" s="4">
        <f>IFERROR(VLOOKUP($C34,日!$I:$L,4,FALSE),"")</f>
        <v>45597</v>
      </c>
      <c r="H34" s="4" t="str">
        <f t="shared" si="8"/>
        <v>(金)</v>
      </c>
      <c r="I34" s="56" t="str">
        <f t="shared" si="9"/>
        <v>こちら</v>
      </c>
    </row>
    <row r="35" spans="2:9" ht="18" customHeight="1" x14ac:dyDescent="0.45">
      <c r="B35" s="60"/>
      <c r="C35" s="131">
        <v>31</v>
      </c>
      <c r="D35" s="63">
        <f>IFERROR(VLOOKUP($C35,日!$I:$L,3,FALSE),"")</f>
        <v>45601</v>
      </c>
      <c r="E35" s="4" t="str">
        <f t="shared" si="7"/>
        <v>(火)</v>
      </c>
      <c r="F35" s="3" t="s">
        <v>5</v>
      </c>
      <c r="G35" s="4">
        <f>IFERROR(VLOOKUP($C35,日!$I:$L,4,FALSE),"")</f>
        <v>45604</v>
      </c>
      <c r="H35" s="4" t="str">
        <f t="shared" si="8"/>
        <v>(金)</v>
      </c>
      <c r="I35" s="56" t="str">
        <f t="shared" si="9"/>
        <v>こちら</v>
      </c>
    </row>
    <row r="36" spans="2:9" ht="18" customHeight="1" x14ac:dyDescent="0.45">
      <c r="B36" s="60"/>
      <c r="C36" s="131">
        <v>32</v>
      </c>
      <c r="D36" s="63">
        <f>IFERROR(VLOOKUP($C36,日!$I:$L,3,FALSE),"")</f>
        <v>45607</v>
      </c>
      <c r="E36" s="4" t="str">
        <f t="shared" si="7"/>
        <v>(月)</v>
      </c>
      <c r="F36" s="3" t="s">
        <v>5</v>
      </c>
      <c r="G36" s="4">
        <f>IFERROR(VLOOKUP($C36,日!$I:$L,4,FALSE),"")</f>
        <v>45611</v>
      </c>
      <c r="H36" s="4" t="str">
        <f t="shared" si="8"/>
        <v>(金)</v>
      </c>
      <c r="I36" s="56" t="str">
        <f t="shared" si="9"/>
        <v>こちら</v>
      </c>
    </row>
    <row r="37" spans="2:9" ht="18" customHeight="1" x14ac:dyDescent="0.45">
      <c r="B37" s="60"/>
      <c r="C37" s="131">
        <v>33</v>
      </c>
      <c r="D37" s="63">
        <f>IFERROR(VLOOKUP($C37,日!$I:$L,3,FALSE),"")</f>
        <v>45614</v>
      </c>
      <c r="E37" s="4" t="str">
        <f t="shared" si="7"/>
        <v>(月)</v>
      </c>
      <c r="F37" s="3" t="s">
        <v>5</v>
      </c>
      <c r="G37" s="4">
        <f>IFERROR(VLOOKUP($C37,日!$I:$L,4,FALSE),"")</f>
        <v>45618</v>
      </c>
      <c r="H37" s="4" t="str">
        <f t="shared" si="8"/>
        <v>(金)</v>
      </c>
      <c r="I37" s="56" t="str">
        <f t="shared" si="9"/>
        <v>こちら</v>
      </c>
    </row>
    <row r="38" spans="2:9" ht="18" customHeight="1" x14ac:dyDescent="0.45">
      <c r="B38" s="60"/>
      <c r="C38" s="131">
        <v>34</v>
      </c>
      <c r="D38" s="63">
        <f>IFERROR(VLOOKUP($C38,日!$I:$L,3,FALSE),"")</f>
        <v>45621</v>
      </c>
      <c r="E38" s="4" t="str">
        <f t="shared" si="7"/>
        <v>(月)</v>
      </c>
      <c r="F38" s="3" t="s">
        <v>5</v>
      </c>
      <c r="G38" s="4">
        <f>IFERROR(VLOOKUP($C38,日!$I:$L,4,FALSE),"")</f>
        <v>45625</v>
      </c>
      <c r="H38" s="4" t="str">
        <f t="shared" si="8"/>
        <v>(金)</v>
      </c>
      <c r="I38" s="56" t="str">
        <f t="shared" si="9"/>
        <v>こちら</v>
      </c>
    </row>
    <row r="39" spans="2:9" ht="18" customHeight="1" x14ac:dyDescent="0.45">
      <c r="B39" s="60"/>
      <c r="C39" s="131">
        <v>35</v>
      </c>
      <c r="D39" s="63">
        <f>IFERROR(VLOOKUP($C39,日!$I:$L,3,FALSE),"")</f>
        <v>45628</v>
      </c>
      <c r="E39" s="4" t="str">
        <f t="shared" si="7"/>
        <v>(月)</v>
      </c>
      <c r="F39" s="3" t="s">
        <v>5</v>
      </c>
      <c r="G39" s="4">
        <f>IFERROR(VLOOKUP($C39,日!$I:$L,4,FALSE),"")</f>
        <v>45632</v>
      </c>
      <c r="H39" s="4" t="str">
        <f t="shared" si="8"/>
        <v>(金)</v>
      </c>
      <c r="I39" s="56" t="str">
        <f t="shared" si="9"/>
        <v>こちら</v>
      </c>
    </row>
    <row r="40" spans="2:9" ht="18" customHeight="1" x14ac:dyDescent="0.45">
      <c r="B40" s="60"/>
      <c r="C40" s="131">
        <v>36</v>
      </c>
      <c r="D40" s="63">
        <f>IFERROR(VLOOKUP($C40,日!$I:$L,3,FALSE),"")</f>
        <v>45635</v>
      </c>
      <c r="E40" s="4" t="str">
        <f t="shared" si="7"/>
        <v>(月)</v>
      </c>
      <c r="F40" s="3" t="s">
        <v>5</v>
      </c>
      <c r="G40" s="4">
        <f>IFERROR(VLOOKUP($C40,日!$I:$L,4,FALSE),"")</f>
        <v>45639</v>
      </c>
      <c r="H40" s="4" t="str">
        <f t="shared" si="8"/>
        <v>(金)</v>
      </c>
      <c r="I40" s="56" t="str">
        <f t="shared" si="9"/>
        <v>こちら</v>
      </c>
    </row>
    <row r="41" spans="2:9" ht="18" customHeight="1" x14ac:dyDescent="0.45">
      <c r="B41" s="60"/>
      <c r="C41" s="131">
        <v>37</v>
      </c>
      <c r="D41" s="63">
        <f>IFERROR(VLOOKUP($C41,日!$I:$L,3,FALSE),"")</f>
        <v>45642</v>
      </c>
      <c r="E41" s="4" t="str">
        <f t="shared" si="7"/>
        <v>(月)</v>
      </c>
      <c r="F41" s="3" t="s">
        <v>5</v>
      </c>
      <c r="G41" s="4">
        <f>IFERROR(VLOOKUP($C41,日!$I:$L,4,FALSE),"")</f>
        <v>45646</v>
      </c>
      <c r="H41" s="4" t="str">
        <f t="shared" si="8"/>
        <v>(金)</v>
      </c>
      <c r="I41" s="56" t="str">
        <f t="shared" si="9"/>
        <v>こちら</v>
      </c>
    </row>
    <row r="42" spans="2:9" ht="18" customHeight="1" x14ac:dyDescent="0.45">
      <c r="B42" s="60"/>
      <c r="C42" s="131">
        <v>38</v>
      </c>
      <c r="D42" s="63">
        <f>IFERROR(VLOOKUP($C42,日!$I:$L,3,FALSE),"")</f>
        <v>45649</v>
      </c>
      <c r="E42" s="4" t="str">
        <f t="shared" si="7"/>
        <v>(月)</v>
      </c>
      <c r="F42" s="3" t="s">
        <v>5</v>
      </c>
      <c r="G42" s="4">
        <f>IFERROR(VLOOKUP($C42,日!$I:$L,4,FALSE),"")</f>
        <v>45653</v>
      </c>
      <c r="H42" s="4" t="str">
        <f t="shared" si="8"/>
        <v>(金)</v>
      </c>
      <c r="I42" s="56" t="str">
        <f t="shared" si="9"/>
        <v>こちら</v>
      </c>
    </row>
    <row r="43" spans="2:9" ht="18" customHeight="1" x14ac:dyDescent="0.45">
      <c r="B43" s="60"/>
      <c r="C43" s="131">
        <v>39</v>
      </c>
      <c r="D43" s="63">
        <f>IFERROR(VLOOKUP($C43,日!$I:$L,3,FALSE),"")</f>
        <v>45656</v>
      </c>
      <c r="E43" s="4" t="str">
        <f t="shared" si="7"/>
        <v>(月)</v>
      </c>
      <c r="F43" s="3" t="s">
        <v>5</v>
      </c>
      <c r="G43" s="4">
        <f>IFERROR(VLOOKUP($C43,日!$I:$L,4,FALSE),"")</f>
        <v>45667</v>
      </c>
      <c r="H43" s="4" t="str">
        <f t="shared" si="8"/>
        <v>(金)</v>
      </c>
      <c r="I43" s="56" t="str">
        <f t="shared" si="9"/>
        <v>こちら</v>
      </c>
    </row>
    <row r="44" spans="2:9" ht="18" customHeight="1" x14ac:dyDescent="0.45">
      <c r="B44" s="60"/>
      <c r="C44" s="131">
        <v>40</v>
      </c>
      <c r="D44" s="63">
        <f>IFERROR(VLOOKUP($C44,日!$I:$L,3,FALSE),"")</f>
        <v>45671</v>
      </c>
      <c r="E44" s="4" t="str">
        <f t="shared" si="7"/>
        <v>(火)</v>
      </c>
      <c r="F44" s="3" t="s">
        <v>5</v>
      </c>
      <c r="G44" s="4">
        <f>IFERROR(VLOOKUP($C44,日!$I:$L,4,FALSE),"")</f>
        <v>45674</v>
      </c>
      <c r="H44" s="4" t="str">
        <f t="shared" si="8"/>
        <v>(金)</v>
      </c>
      <c r="I44" s="56" t="str">
        <f t="shared" si="9"/>
        <v>こちら</v>
      </c>
    </row>
    <row r="45" spans="2:9" ht="18" customHeight="1" x14ac:dyDescent="0.45">
      <c r="B45" s="60"/>
      <c r="C45" s="131">
        <v>41</v>
      </c>
      <c r="D45" s="63">
        <f>IFERROR(VLOOKUP($C45,日!$I:$L,3,FALSE),"")</f>
        <v>45677</v>
      </c>
      <c r="E45" s="4" t="str">
        <f t="shared" si="7"/>
        <v>(月)</v>
      </c>
      <c r="F45" s="3" t="s">
        <v>5</v>
      </c>
      <c r="G45" s="4">
        <f>IFERROR(VLOOKUP($C45,日!$I:$L,4,FALSE),"")</f>
        <v>45681</v>
      </c>
      <c r="H45" s="4" t="str">
        <f t="shared" si="8"/>
        <v>(金)</v>
      </c>
      <c r="I45" s="56" t="str">
        <f t="shared" si="9"/>
        <v>こちら</v>
      </c>
    </row>
    <row r="46" spans="2:9" ht="18" customHeight="1" x14ac:dyDescent="0.45">
      <c r="B46" s="60"/>
      <c r="C46" s="131">
        <v>42</v>
      </c>
      <c r="D46" s="63">
        <f>IFERROR(VLOOKUP($C46,日!$I:$L,3,FALSE),"")</f>
        <v>45684</v>
      </c>
      <c r="E46" s="4" t="str">
        <f t="shared" si="7"/>
        <v>(月)</v>
      </c>
      <c r="F46" s="3" t="s">
        <v>5</v>
      </c>
      <c r="G46" s="4">
        <f>IFERROR(VLOOKUP($C46,日!$I:$L,4,FALSE),"")</f>
        <v>45688</v>
      </c>
      <c r="H46" s="4" t="str">
        <f t="shared" si="8"/>
        <v>(金)</v>
      </c>
      <c r="I46" s="56" t="str">
        <f t="shared" si="9"/>
        <v>こちら</v>
      </c>
    </row>
    <row r="47" spans="2:9" ht="18" customHeight="1" x14ac:dyDescent="0.45">
      <c r="B47" s="60"/>
      <c r="C47" s="131">
        <v>43</v>
      </c>
      <c r="D47" s="63">
        <f>IFERROR(VLOOKUP($C47,日!$I:$L,3,FALSE),"")</f>
        <v>45691</v>
      </c>
      <c r="E47" s="4" t="str">
        <f t="shared" si="7"/>
        <v>(月)</v>
      </c>
      <c r="F47" s="3" t="s">
        <v>5</v>
      </c>
      <c r="G47" s="4">
        <f>IFERROR(VLOOKUP($C47,日!$I:$L,4,FALSE),"")</f>
        <v>45695</v>
      </c>
      <c r="H47" s="4" t="str">
        <f t="shared" si="8"/>
        <v>(金)</v>
      </c>
      <c r="I47" s="56" t="str">
        <f t="shared" si="9"/>
        <v>こちら</v>
      </c>
    </row>
    <row r="48" spans="2:9" ht="18" customHeight="1" x14ac:dyDescent="0.45">
      <c r="B48" s="60"/>
      <c r="C48" s="131">
        <v>44</v>
      </c>
      <c r="D48" s="63">
        <f>IFERROR(VLOOKUP($C48,日!$I:$L,3,FALSE),"")</f>
        <v>45698</v>
      </c>
      <c r="E48" s="4" t="str">
        <f t="shared" si="7"/>
        <v>(月)</v>
      </c>
      <c r="F48" s="3" t="s">
        <v>5</v>
      </c>
      <c r="G48" s="4">
        <f>IFERROR(VLOOKUP($C48,日!$I:$L,4,FALSE),"")</f>
        <v>45702</v>
      </c>
      <c r="H48" s="4" t="str">
        <f t="shared" si="8"/>
        <v>(金)</v>
      </c>
      <c r="I48" s="56" t="str">
        <f t="shared" si="9"/>
        <v>こちら</v>
      </c>
    </row>
    <row r="49" spans="2:9" ht="18" customHeight="1" x14ac:dyDescent="0.45">
      <c r="B49" s="60"/>
      <c r="C49" s="131">
        <v>45</v>
      </c>
      <c r="D49" s="63">
        <f>IFERROR(VLOOKUP($C49,日!$I:$L,3,FALSE),"")</f>
        <v>45705</v>
      </c>
      <c r="E49" s="4" t="str">
        <f t="shared" si="7"/>
        <v>(月)</v>
      </c>
      <c r="F49" s="3" t="s">
        <v>5</v>
      </c>
      <c r="G49" s="4">
        <f>IFERROR(VLOOKUP($C49,日!$I:$L,4,FALSE),"")</f>
        <v>45709</v>
      </c>
      <c r="H49" s="4" t="str">
        <f t="shared" si="8"/>
        <v>(金)</v>
      </c>
      <c r="I49" s="56" t="str">
        <f t="shared" si="9"/>
        <v>こちら</v>
      </c>
    </row>
    <row r="50" spans="2:9" ht="18" customHeight="1" x14ac:dyDescent="0.45">
      <c r="B50" s="60"/>
      <c r="C50" s="131">
        <v>46</v>
      </c>
      <c r="D50" s="63">
        <f>IFERROR(VLOOKUP($C50,日!$I:$L,3,FALSE),"")</f>
        <v>45713</v>
      </c>
      <c r="E50" s="4" t="str">
        <f t="shared" si="7"/>
        <v>(火)</v>
      </c>
      <c r="F50" s="3" t="s">
        <v>5</v>
      </c>
      <c r="G50" s="4">
        <f>IFERROR(VLOOKUP($C50,日!$I:$L,4,FALSE),"")</f>
        <v>45716</v>
      </c>
      <c r="H50" s="4" t="str">
        <f t="shared" si="8"/>
        <v>(金)</v>
      </c>
      <c r="I50" s="56" t="str">
        <f t="shared" si="9"/>
        <v>こちら</v>
      </c>
    </row>
    <row r="51" spans="2:9" ht="18" customHeight="1" x14ac:dyDescent="0.45">
      <c r="B51" s="60"/>
      <c r="C51" s="131">
        <v>47</v>
      </c>
      <c r="D51" s="63">
        <f>IFERROR(VLOOKUP($C51,日!$I:$L,3,FALSE),"")</f>
        <v>45719</v>
      </c>
      <c r="E51" s="4" t="str">
        <f t="shared" si="7"/>
        <v>(月)</v>
      </c>
      <c r="F51" s="3" t="s">
        <v>5</v>
      </c>
      <c r="G51" s="4">
        <f>IFERROR(VLOOKUP($C51,日!$I:$L,4,FALSE),"")</f>
        <v>45723</v>
      </c>
      <c r="H51" s="4" t="str">
        <f t="shared" si="8"/>
        <v>(金)</v>
      </c>
      <c r="I51" s="56" t="str">
        <f t="shared" si="9"/>
        <v>こちら</v>
      </c>
    </row>
    <row r="52" spans="2:9" ht="18" customHeight="1" x14ac:dyDescent="0.45">
      <c r="B52" s="60"/>
      <c r="C52" s="131">
        <v>48</v>
      </c>
      <c r="D52" s="63">
        <f>IFERROR(VLOOKUP($C52,日!$I:$L,3,FALSE),"")</f>
        <v>45726</v>
      </c>
      <c r="E52" s="4" t="str">
        <f t="shared" si="7"/>
        <v>(月)</v>
      </c>
      <c r="F52" s="3" t="s">
        <v>5</v>
      </c>
      <c r="G52" s="4">
        <f>IFERROR(VLOOKUP($C52,日!$I:$L,4,FALSE),"")</f>
        <v>45730</v>
      </c>
      <c r="H52" s="4" t="str">
        <f t="shared" si="8"/>
        <v>(金)</v>
      </c>
      <c r="I52" s="56" t="str">
        <f t="shared" si="9"/>
        <v>こちら</v>
      </c>
    </row>
    <row r="53" spans="2:9" ht="18" customHeight="1" x14ac:dyDescent="0.45">
      <c r="B53" s="60"/>
      <c r="C53" s="131">
        <v>49</v>
      </c>
      <c r="D53" s="63">
        <f>IFERROR(VLOOKUP($C53,日!$I:$L,3,FALSE),"")</f>
        <v>45733</v>
      </c>
      <c r="E53" s="4" t="str">
        <f t="shared" si="7"/>
        <v>(月)</v>
      </c>
      <c r="F53" s="3" t="s">
        <v>5</v>
      </c>
      <c r="G53" s="4">
        <f>IFERROR(VLOOKUP($C53,日!$I:$L,4,FALSE),"")</f>
        <v>45737</v>
      </c>
      <c r="H53" s="4" t="str">
        <f t="shared" si="8"/>
        <v>(金)</v>
      </c>
      <c r="I53" s="56" t="str">
        <f t="shared" si="9"/>
        <v>こちら</v>
      </c>
    </row>
    <row r="54" spans="2:9" ht="18" customHeight="1" thickBot="1" x14ac:dyDescent="0.5">
      <c r="B54" s="61"/>
      <c r="C54" s="132">
        <v>50</v>
      </c>
      <c r="D54" s="64">
        <f>IFERROR(VLOOKUP($C54,日!$I:$L,3,FALSE),"")</f>
        <v>45740</v>
      </c>
      <c r="E54" s="57" t="str">
        <f t="shared" si="7"/>
        <v>(月)</v>
      </c>
      <c r="F54" s="58" t="s">
        <v>5</v>
      </c>
      <c r="G54" s="57">
        <f>IFERROR(VLOOKUP($C54,日!$I:$L,4,FALSE),"")</f>
        <v>45744</v>
      </c>
      <c r="H54" s="57" t="str">
        <f t="shared" si="8"/>
        <v>(金)</v>
      </c>
      <c r="I54" s="59" t="str">
        <f t="shared" si="9"/>
        <v>こちら</v>
      </c>
    </row>
  </sheetData>
  <mergeCells count="1">
    <mergeCell ref="B3:B4"/>
  </mergeCells>
  <phoneticPr fontId="1"/>
  <conditionalFormatting sqref="B5:I54">
    <cfRule type="expression" dxfId="1" priority="2">
      <formula>$B5="●"</formula>
    </cfRule>
  </conditionalFormatting>
  <dataValidations count="1">
    <dataValidation type="list" allowBlank="1" showInputMessage="1" showErrorMessage="1" sqref="B5:B54" xr:uid="{8F4F1964-0A20-4EC2-9590-F43499CF0701}">
      <formula1>"●"</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A75A-502B-4B3C-BDC3-FAB591BD70AB}">
  <sheetPr codeName="Sheet2">
    <tabColor rgb="FFFFFF00"/>
  </sheetPr>
  <dimension ref="A1:G215"/>
  <sheetViews>
    <sheetView showGridLines="0" zoomScale="80" zoomScaleNormal="80" workbookViewId="0">
      <pane ySplit="4" topLeftCell="A5" activePane="bottomLeft" state="frozen"/>
      <selection pane="bottomLeft" activeCell="L2" sqref="L2"/>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t="e" cm="1">
        <f t="array" aca="1" ref="A1" ca="1">VALUE(MID(CELL("filename",A1),FIND("]",CELL("filename",A1))+1,99))</f>
        <v>#VALUE!</v>
      </c>
      <c r="E1" s="30" t="s">
        <v>7</v>
      </c>
      <c r="F1" s="51" t="s">
        <v>8</v>
      </c>
      <c r="G1" s="52" t="s">
        <v>9</v>
      </c>
    </row>
    <row r="2" spans="1:7" x14ac:dyDescent="0.45">
      <c r="A2" s="26" t="e" cm="1">
        <f t="array" aca="1" ref="A2" ca="1">VALUE(MID(CELL("filename",A2),FIND("]",CELL("filename",A2))+1,99))</f>
        <v>#VALUE!</v>
      </c>
      <c r="B2" s="27"/>
      <c r="C2" s="28"/>
      <c r="D2" s="95" t="s">
        <v>10</v>
      </c>
      <c r="G2" s="101" t="s">
        <v>11</v>
      </c>
    </row>
    <row r="3" spans="1:7" ht="24.6" customHeight="1" thickBot="1" x14ac:dyDescent="0.5">
      <c r="A3" s="26"/>
      <c r="D3" s="93" t="str">
        <f ca="1">IFERROR(VLOOKUP($A$1,目次!$C$5:$I$100,5,FALSE),"")</f>
        <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c r="F110" s="46" t="str" cm="1">
        <f t="array" aca="1" ref="F110" ca="1">HYPERLINK(INDIRECT(C110),D110)</f>
        <v>DXプロデュース事業部</v>
      </c>
      <c r="G110" s="45"/>
    </row>
    <row r="111" spans="2:7" ht="19.95" customHeight="1" x14ac:dyDescent="0.45">
      <c r="D111" s="36"/>
      <c r="E111" s="106"/>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41"/>
      <c r="E149" s="107"/>
      <c r="F149" s="42"/>
      <c r="G149" s="43"/>
    </row>
    <row r="150" spans="2:7" ht="19.95" customHeight="1" x14ac:dyDescent="0.45">
      <c r="B150" s="23">
        <f t="shared" ref="B150" si="21">B145+1</f>
        <v>30</v>
      </c>
      <c r="C150" s="24" t="str">
        <f t="shared" ref="C150" si="22">"ﾘｽﾄ!C"&amp;B150+2</f>
        <v>ﾘｽﾄ!C32</v>
      </c>
      <c r="D150" s="44" t="str">
        <f>IFERROR(VLOOKUP($B150,ﾘｽﾄ!A:B,2,FALSE),"")</f>
        <v>公共ソリューション開発センター</v>
      </c>
      <c r="E150" s="108"/>
      <c r="F150" s="46" t="str" cm="1">
        <f t="array" aca="1" ref="F150" ca="1">HYPERLINK(INDIRECT(C150),D150)</f>
        <v>公共ソリューション開発センター</v>
      </c>
      <c r="G150" s="45"/>
    </row>
    <row r="151" spans="2:7" ht="19.95" customHeight="1" x14ac:dyDescent="0.45">
      <c r="D151" s="36"/>
      <c r="E151" s="106"/>
      <c r="F151" s="40"/>
      <c r="G151" s="39"/>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41"/>
      <c r="E154" s="107"/>
      <c r="F154" s="42"/>
      <c r="G154" s="43"/>
    </row>
    <row r="155" spans="2:7" ht="19.95" customHeight="1" x14ac:dyDescent="0.45">
      <c r="B155" s="23">
        <f t="shared" ref="B155" si="23">B150+1</f>
        <v>31</v>
      </c>
      <c r="C155" s="24" t="str">
        <f t="shared" ref="C155" si="24">"ﾘｽﾄ!C"&amp;B155+2</f>
        <v>ﾘｽﾄ!C33</v>
      </c>
      <c r="D155" s="44" t="str">
        <f>IFERROR(VLOOKUP($B155,ﾘｽﾄ!A:B,2,FALSE),"")</f>
        <v>システムプロデュース事業部</v>
      </c>
      <c r="E155" s="108"/>
      <c r="F155" s="46" t="str" cm="1">
        <f t="array" aca="1" ref="F155" ca="1">HYPERLINK(INDIRECT(C155),D155)</f>
        <v>システムプロデュース事業部</v>
      </c>
      <c r="G155" s="45"/>
    </row>
    <row r="156" spans="2:7" ht="19.95" customHeight="1" x14ac:dyDescent="0.45">
      <c r="D156" s="36"/>
      <c r="E156" s="106"/>
      <c r="F156" s="40"/>
      <c r="G156" s="39"/>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41"/>
      <c r="E159" s="107"/>
      <c r="F159" s="42"/>
      <c r="G159" s="43"/>
    </row>
    <row r="160" spans="2:7" ht="19.95" customHeight="1" x14ac:dyDescent="0.45">
      <c r="B160" s="23">
        <f t="shared" ref="B160:B210" si="25">B155+1</f>
        <v>32</v>
      </c>
      <c r="C160" s="24" t="str">
        <f t="shared" ref="C160" si="26">"ﾘｽﾄ!C"&amp;B160+2</f>
        <v>ﾘｽﾄ!C34</v>
      </c>
      <c r="D160" s="44" t="str">
        <f>IFERROR(VLOOKUP($B160,ﾘｽﾄ!A:B,2,FALSE),"")</f>
        <v>デジタルイノベーション推進部</v>
      </c>
      <c r="E160" s="108"/>
      <c r="F160" s="46" t="str" cm="1">
        <f t="array" aca="1" ref="F160" ca="1">HYPERLINK(INDIRECT(C160),D160)</f>
        <v>デジタルイノベーション推進部</v>
      </c>
      <c r="G160" s="45"/>
    </row>
    <row r="161" spans="2:7" ht="19.95" customHeight="1" x14ac:dyDescent="0.45">
      <c r="D161" s="36"/>
      <c r="E161" s="106"/>
      <c r="F161" s="40"/>
      <c r="G161" s="39"/>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41"/>
      <c r="E164" s="107"/>
      <c r="F164" s="42"/>
      <c r="G164" s="43"/>
    </row>
    <row r="165" spans="2:7" ht="19.95" customHeight="1" x14ac:dyDescent="0.45">
      <c r="B165" s="23">
        <f t="shared" si="25"/>
        <v>33</v>
      </c>
      <c r="C165" s="24" t="str">
        <f t="shared" ref="C165" si="27">"ﾘｽﾄ!C"&amp;B165+2</f>
        <v>ﾘｽﾄ!C35</v>
      </c>
      <c r="D165" s="44" t="str">
        <f>IFERROR(VLOOKUP($B165,ﾘｽﾄ!A:B,2,FALSE),"")</f>
        <v>施設予約サービス部</v>
      </c>
      <c r="E165" s="108"/>
      <c r="F165" s="46" t="str" cm="1">
        <f t="array" aca="1" ref="F165" ca="1">HYPERLINK(INDIRECT(C165),D165)</f>
        <v>施設予約サービス部</v>
      </c>
      <c r="G165" s="45"/>
    </row>
    <row r="166" spans="2:7" ht="19.95" customHeight="1" x14ac:dyDescent="0.45">
      <c r="D166" s="36"/>
      <c r="E166" s="106"/>
      <c r="F166" s="40"/>
      <c r="G166" s="39"/>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41"/>
      <c r="E169" s="107"/>
      <c r="F169" s="42"/>
      <c r="G169" s="43"/>
    </row>
    <row r="170" spans="2:7" ht="19.95" customHeight="1" x14ac:dyDescent="0.45">
      <c r="B170" s="23">
        <f t="shared" si="25"/>
        <v>34</v>
      </c>
      <c r="C170" s="24" t="str">
        <f t="shared" ref="C170" si="28">"ﾘｽﾄ!C"&amp;B170+2</f>
        <v>ﾘｽﾄ!C36</v>
      </c>
      <c r="D170" s="44" t="str">
        <f>IFERROR(VLOOKUP($B170,ﾘｽﾄ!A:B,2,FALSE),"")</f>
        <v>ソリューションサービス部</v>
      </c>
      <c r="E170" s="108"/>
      <c r="F170" s="46" t="str" cm="1">
        <f t="array" aca="1" ref="F170" ca="1">HYPERLINK(INDIRECT(C170),D170)</f>
        <v>ソリューションサービス部</v>
      </c>
      <c r="G170" s="45"/>
    </row>
    <row r="171" spans="2:7" ht="19.95" customHeight="1" x14ac:dyDescent="0.45">
      <c r="D171" s="36"/>
      <c r="E171" s="106"/>
      <c r="F171" s="40"/>
      <c r="G171" s="39"/>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41"/>
      <c r="E174" s="107"/>
      <c r="F174" s="42"/>
      <c r="G174" s="43"/>
    </row>
    <row r="175" spans="2:7" ht="19.95" customHeight="1" x14ac:dyDescent="0.45">
      <c r="B175" s="23">
        <f t="shared" si="25"/>
        <v>35</v>
      </c>
      <c r="C175" s="24" t="str">
        <f t="shared" ref="C175" si="29">"ﾘｽﾄ!C"&amp;B175+2</f>
        <v>ﾘｽﾄ!C37</v>
      </c>
      <c r="D175" s="44" t="str">
        <f>IFERROR(VLOOKUP($B175,ﾘｽﾄ!A:B,2,FALSE),"")</f>
        <v>ソリューション事業部</v>
      </c>
      <c r="E175" s="108"/>
      <c r="F175" s="46" t="str" cm="1">
        <f t="array" aca="1" ref="F175" ca="1">HYPERLINK(INDIRECT(C175),D175)</f>
        <v>ソリューション事業部</v>
      </c>
      <c r="G175" s="45"/>
    </row>
    <row r="176" spans="2:7" ht="19.95" customHeight="1" x14ac:dyDescent="0.45">
      <c r="D176" s="36"/>
      <c r="E176" s="106"/>
      <c r="F176" s="40"/>
      <c r="G176" s="39"/>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41"/>
      <c r="E179" s="107"/>
      <c r="F179" s="42"/>
      <c r="G179" s="43"/>
    </row>
    <row r="180" spans="2:7" ht="19.95" customHeight="1" x14ac:dyDescent="0.45">
      <c r="B180" s="23">
        <f t="shared" si="25"/>
        <v>36</v>
      </c>
      <c r="C180" s="24" t="str">
        <f t="shared" ref="C180" si="30">"ﾘｽﾄ!C"&amp;B180+2</f>
        <v>ﾘｽﾄ!C38</v>
      </c>
      <c r="D180" s="44" t="str">
        <f>IFERROR(VLOOKUP($B180,ﾘｽﾄ!A:B,2,FALSE),"")</f>
        <v>東京本社マネジメント推進部</v>
      </c>
      <c r="E180" s="108"/>
      <c r="F180" s="46" t="str" cm="1">
        <f t="array" aca="1" ref="F180" ca="1">HYPERLINK(INDIRECT(C180),D180)</f>
        <v>東京本社マネジメント推進部</v>
      </c>
      <c r="G180" s="45"/>
    </row>
    <row r="181" spans="2:7" ht="19.95" customHeight="1" x14ac:dyDescent="0.45">
      <c r="D181" s="36"/>
      <c r="E181" s="106"/>
      <c r="F181" s="40"/>
      <c r="G181" s="39"/>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41"/>
      <c r="E184" s="107"/>
      <c r="F184" s="42"/>
      <c r="G184" s="43"/>
    </row>
    <row r="185" spans="2:7" ht="19.95" customHeight="1" x14ac:dyDescent="0.45">
      <c r="B185" s="23">
        <f t="shared" si="25"/>
        <v>37</v>
      </c>
      <c r="C185" s="24" t="str">
        <f t="shared" ref="C185" si="31">"ﾘｽﾄ!C"&amp;B185+2</f>
        <v>ﾘｽﾄ!C39</v>
      </c>
      <c r="D185" s="44" t="str">
        <f>IFERROR(VLOOKUP($B185,ﾘｽﾄ!A:B,2,FALSE),"")</f>
        <v>佐藤執行役員</v>
      </c>
      <c r="E185" s="108"/>
      <c r="F185" s="46" t="str" cm="1">
        <f t="array" aca="1" ref="F185" ca="1">HYPERLINK(INDIRECT(C185),D185)</f>
        <v>佐藤執行役員</v>
      </c>
      <c r="G185" s="45"/>
    </row>
    <row r="186" spans="2:7" ht="19.95" customHeight="1" x14ac:dyDescent="0.45">
      <c r="D186" s="36"/>
      <c r="E186" s="106"/>
      <c r="F186" s="40"/>
      <c r="G186" s="39"/>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47"/>
      <c r="E189" s="107"/>
      <c r="F189" s="42"/>
      <c r="G189" s="43"/>
    </row>
    <row r="190" spans="2:7" ht="19.95" customHeight="1" x14ac:dyDescent="0.45">
      <c r="B190" s="23">
        <f t="shared" si="25"/>
        <v>38</v>
      </c>
      <c r="C190" s="24" t="str">
        <f t="shared" ref="C190" si="32">"ﾘｽﾄ!C"&amp;B190+2</f>
        <v>ﾘｽﾄ!C40</v>
      </c>
      <c r="D190" s="44" t="str">
        <f>IFERROR(VLOOKUP($B190,ﾘｽﾄ!A:B,2,FALSE),"")</f>
        <v>中島常務執行役員</v>
      </c>
      <c r="E190" s="108"/>
      <c r="F190" s="46" t="str" cm="1">
        <f t="array" aca="1" ref="F190" ca="1">HYPERLINK(INDIRECT(C190),D190)</f>
        <v>中島常務執行役員</v>
      </c>
      <c r="G190" s="45"/>
    </row>
    <row r="191" spans="2:7" ht="19.95" customHeight="1" x14ac:dyDescent="0.45">
      <c r="D191" s="36"/>
      <c r="E191" s="106"/>
      <c r="F191" s="40"/>
      <c r="G191" s="39"/>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47"/>
      <c r="E194" s="107"/>
      <c r="F194" s="42"/>
      <c r="G194" s="43"/>
    </row>
    <row r="195" spans="2:7" ht="19.95" customHeight="1" x14ac:dyDescent="0.45">
      <c r="B195" s="23">
        <f t="shared" si="25"/>
        <v>39</v>
      </c>
      <c r="C195" s="24" t="str">
        <f t="shared" ref="C195" si="33">"ﾘｽﾄ!C"&amp;B195+2</f>
        <v>ﾘｽﾄ!C41</v>
      </c>
      <c r="D195" s="44" t="str">
        <f>IFERROR(VLOOKUP($B195,ﾘｽﾄ!A:B,2,FALSE),"")</f>
        <v>河野取締役</v>
      </c>
      <c r="E195" s="108"/>
      <c r="F195" s="46" t="str" cm="1">
        <f t="array" aca="1" ref="F195" ca="1">HYPERLINK(INDIRECT(C195),D195)</f>
        <v>河野取締役</v>
      </c>
      <c r="G195" s="45"/>
    </row>
    <row r="196" spans="2:7" ht="19.95" customHeight="1" x14ac:dyDescent="0.45">
      <c r="D196" s="36"/>
      <c r="E196" s="106"/>
      <c r="F196" s="40"/>
      <c r="G196" s="39"/>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47"/>
      <c r="E199" s="107"/>
      <c r="F199" s="42"/>
      <c r="G199" s="43"/>
    </row>
    <row r="200" spans="2:7" ht="19.95" customHeight="1" x14ac:dyDescent="0.45">
      <c r="B200" s="23">
        <f t="shared" si="25"/>
        <v>40</v>
      </c>
      <c r="C200" s="24" t="str">
        <f t="shared" ref="C200" si="34">"ﾘｽﾄ!C"&amp;B200+2</f>
        <v>ﾘｽﾄ!C42</v>
      </c>
      <c r="D200" s="44" t="str">
        <f>IFERROR(VLOOKUP($B200,ﾘｽﾄ!A:B,2,FALSE),"")</f>
        <v>安東常務</v>
      </c>
      <c r="E200" s="108"/>
      <c r="F200" s="46" t="str" cm="1">
        <f t="array" aca="1" ref="F200" ca="1">HYPERLINK(INDIRECT(C200),D200)</f>
        <v>安東常務</v>
      </c>
      <c r="G200" s="45"/>
    </row>
    <row r="201" spans="2:7" ht="19.95" customHeight="1" x14ac:dyDescent="0.45">
      <c r="D201" s="36"/>
      <c r="E201" s="106"/>
      <c r="F201" s="40"/>
      <c r="G201" s="39"/>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47"/>
      <c r="E204" s="107"/>
      <c r="F204" s="42"/>
      <c r="G204" s="43"/>
    </row>
    <row r="205" spans="2:7" ht="19.95" customHeight="1" x14ac:dyDescent="0.45">
      <c r="B205" s="23">
        <f t="shared" si="25"/>
        <v>41</v>
      </c>
      <c r="C205" s="24" t="str">
        <f t="shared" ref="C205" si="35">"ﾘｽﾄ!C"&amp;B205+2</f>
        <v>ﾘｽﾄ!C43</v>
      </c>
      <c r="D205" s="44" t="str">
        <f>IFERROR(VLOOKUP($B205,ﾘｽﾄ!A:B,2,FALSE),"")</f>
        <v>岡田常務</v>
      </c>
      <c r="E205" s="108"/>
      <c r="F205" s="46" t="str" cm="1">
        <f t="array" aca="1" ref="F205" ca="1">HYPERLINK(INDIRECT(C205),D205)</f>
        <v>岡田常務</v>
      </c>
      <c r="G205" s="45"/>
    </row>
    <row r="206" spans="2:7" ht="19.95" customHeight="1" x14ac:dyDescent="0.45">
      <c r="D206" s="36"/>
      <c r="E206" s="106"/>
      <c r="F206" s="40"/>
      <c r="G206" s="39"/>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47"/>
      <c r="E209" s="107"/>
      <c r="F209" s="42"/>
      <c r="G209" s="43"/>
    </row>
    <row r="210" spans="2:7" ht="19.95" customHeight="1" x14ac:dyDescent="0.45">
      <c r="B210" s="23">
        <f t="shared" si="25"/>
        <v>42</v>
      </c>
      <c r="C210" s="24" t="str">
        <f t="shared" ref="C210" si="36">"ﾘｽﾄ!C"&amp;B210+2</f>
        <v>ﾘｽﾄ!C44</v>
      </c>
      <c r="D210" s="44" t="str">
        <f>IFERROR(VLOOKUP($B210,ﾘｽﾄ!A:B,2,FALSE),"")</f>
        <v>加藤社長</v>
      </c>
      <c r="E210" s="108"/>
      <c r="F210" s="46" t="str" cm="1">
        <f t="array" aca="1" ref="F210" ca="1">HYPERLINK(INDIRECT(C210),D210)</f>
        <v>加藤社長</v>
      </c>
      <c r="G210" s="45"/>
    </row>
    <row r="211" spans="2:7" ht="19.95" customHeight="1" x14ac:dyDescent="0.45">
      <c r="D211" s="36"/>
      <c r="E211" s="106"/>
      <c r="F211" s="40"/>
      <c r="G211" s="39"/>
    </row>
    <row r="212" spans="2:7" ht="19.95" customHeight="1" x14ac:dyDescent="0.45">
      <c r="D212" s="36"/>
      <c r="E212" s="106"/>
      <c r="F212" s="40"/>
      <c r="G212" s="39"/>
    </row>
    <row r="213" spans="2:7" ht="19.95" customHeight="1" x14ac:dyDescent="0.45">
      <c r="D213" s="36"/>
      <c r="E213" s="106"/>
      <c r="F213" s="40"/>
      <c r="G213" s="39"/>
    </row>
    <row r="214" spans="2:7" ht="19.95" customHeight="1" thickBot="1" x14ac:dyDescent="0.5">
      <c r="D214" s="48"/>
      <c r="E214" s="109"/>
      <c r="F214" s="49"/>
      <c r="G214" s="50"/>
    </row>
    <row r="215" spans="2:7" x14ac:dyDescent="0.45">
      <c r="D215" s="111"/>
      <c r="E215" s="112"/>
      <c r="F215" s="113"/>
      <c r="G215" s="112"/>
    </row>
  </sheetData>
  <customSheetViews>
    <customSheetView guid="{02EDAD20-C0CF-49D7-8002-3E7B011F1566}" scale="85" showPageBreaks="1" showGridLines="0" fitToPage="1">
      <selection activeCell="A2" sqref="A2"/>
      <pageMargins left="0" right="0" top="0" bottom="0" header="0" footer="0"/>
      <pageSetup paperSize="9" scale="18" orientation="portrait" horizontalDpi="1200" verticalDpi="1200" r:id="rId1"/>
    </customSheetView>
    <customSheetView guid="{BFEB2F4B-4D67-417B-95F9-B15A4E17E2A9}" scale="85" showGridLines="0" fitToPage="1">
      <selection activeCell="A2" sqref="A2"/>
      <pageMargins left="0" right="0" top="0" bottom="0" header="0" footer="0"/>
      <pageSetup paperSize="9" scale="18" orientation="portrait" horizontalDpi="1200" verticalDpi="1200" r:id="rId2"/>
    </customSheetView>
    <customSheetView guid="{10753637-46EC-4FCF-B2FC-FBC7B1E179E3}" scale="85" showGridLines="0" fitToPage="1">
      <selection activeCell="B18" sqref="B18"/>
      <pageMargins left="0" right="0" top="0" bottom="0" header="0" footer="0"/>
      <pageSetup paperSize="9" scale="18" orientation="portrait" horizontalDpi="1200" verticalDpi="1200" r:id="rId3"/>
    </customSheetView>
  </customSheetViews>
  <phoneticPr fontId="1"/>
  <hyperlinks>
    <hyperlink ref="F1" location="ﾘｽﾄ!A1" display="格納先一覧はこちら" xr:uid="{4170C242-0A92-4206-A2F1-F66F004B8B12}"/>
  </hyperlinks>
  <printOptions horizontalCentered="1"/>
  <pageMargins left="0" right="0" top="0" bottom="0" header="0.31496062992125984" footer="0.31496062992125984"/>
  <pageSetup paperSize="8" scale="72" fitToHeight="3" orientation="portrait" horizontalDpi="1200" verticalDpi="1200" r:id="rId4"/>
  <rowBreaks count="2" manualBreakCount="2">
    <brk id="79" min="3" max="6" man="1"/>
    <brk id="144" min="3" max="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253A3-0470-45E5-AEA6-8FB33E2A63FC}">
  <sheetPr codeName="Sheet3">
    <tabColor rgb="FFFFFF00"/>
  </sheetPr>
  <dimension ref="A1:G220"/>
  <sheetViews>
    <sheetView showGridLines="0" zoomScale="80" zoomScaleNormal="80" workbookViewId="0">
      <pane ySplit="4" topLeftCell="A166" activePane="bottomLeft" state="frozen"/>
      <selection pane="bottomLeft" activeCell="E20" sqref="E20"/>
    </sheetView>
  </sheetViews>
  <sheetFormatPr defaultColWidth="8.69921875" defaultRowHeight="15" outlineLevelCol="1" x14ac:dyDescent="0.45"/>
  <cols>
    <col min="1" max="1" width="0.59765625" style="1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v>
      </c>
      <c r="E1" s="30" t="s">
        <v>7</v>
      </c>
      <c r="F1" s="51" t="s">
        <v>8</v>
      </c>
      <c r="G1" s="52" t="s">
        <v>9</v>
      </c>
    </row>
    <row r="2" spans="1:7" x14ac:dyDescent="0.45">
      <c r="A2" s="26" cm="1">
        <f t="array" aca="1" ref="A2" ca="1">VALUE(MID(CELL("filename",A2),FIND("]",CELL("filename",A2))+1,99))</f>
        <v>1</v>
      </c>
      <c r="B2" s="27"/>
      <c r="C2" s="28"/>
      <c r="D2" s="95" t="s">
        <v>10</v>
      </c>
      <c r="G2" s="101" t="s">
        <v>11</v>
      </c>
    </row>
    <row r="3" spans="1:7" ht="24.6" customHeight="1" thickBot="1" x14ac:dyDescent="0.5">
      <c r="A3" s="26"/>
      <c r="D3" s="93">
        <f>IFERROR(VLOOKUP($A$1,目次!$C$5:$I$100,5,FALSE),"")</f>
        <v>45387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17</v>
      </c>
      <c r="F5" s="37" t="str" cm="1">
        <f t="array" aca="1" ref="F5" ca="1">HYPERLINK(INDIRECT(C5),D5)</f>
        <v>総務部</v>
      </c>
      <c r="G5" s="38" t="s">
        <v>18</v>
      </c>
    </row>
    <row r="6" spans="1:7" ht="19.95" customHeight="1" x14ac:dyDescent="0.45">
      <c r="D6" s="36"/>
      <c r="E6" s="106" t="s">
        <v>19</v>
      </c>
      <c r="F6" s="37"/>
      <c r="G6" s="39"/>
    </row>
    <row r="7" spans="1:7" ht="19.95" customHeight="1" x14ac:dyDescent="0.45">
      <c r="D7" s="36"/>
      <c r="E7" s="106" t="s">
        <v>20</v>
      </c>
      <c r="F7" s="40"/>
      <c r="G7" s="39"/>
    </row>
    <row r="8" spans="1:7" ht="19.95" customHeight="1" x14ac:dyDescent="0.45">
      <c r="D8" s="36"/>
      <c r="E8" s="106" t="s">
        <v>21</v>
      </c>
      <c r="F8" s="40"/>
      <c r="G8" s="39"/>
    </row>
    <row r="9" spans="1:7" ht="19.95" customHeight="1" x14ac:dyDescent="0.45">
      <c r="D9" s="41"/>
      <c r="E9" s="107" t="s">
        <v>22</v>
      </c>
      <c r="F9" s="42"/>
      <c r="G9" s="43"/>
    </row>
    <row r="10" spans="1:7" ht="19.95" customHeight="1" x14ac:dyDescent="0.45">
      <c r="B10" s="23">
        <f>B5+1</f>
        <v>2</v>
      </c>
      <c r="C10" s="24" t="str">
        <f>"ﾘｽﾄ!C"&amp;B10+2</f>
        <v>ﾘｽﾄ!C4</v>
      </c>
      <c r="D10" s="44" t="str">
        <f>IFERROR(VLOOKUP($B10,ﾘｽﾄ!A:B,2,FALSE),"")</f>
        <v>人事部</v>
      </c>
      <c r="E10" s="151" t="s">
        <v>23</v>
      </c>
      <c r="F10" s="37" t="str" cm="1">
        <f t="array" aca="1" ref="F10" ca="1">HYPERLINK(INDIRECT(C10),D10)</f>
        <v>人事部</v>
      </c>
      <c r="G10" s="45"/>
    </row>
    <row r="11" spans="1:7" ht="19.95" customHeight="1" x14ac:dyDescent="0.45">
      <c r="D11" s="36"/>
      <c r="E11" s="152" t="s">
        <v>24</v>
      </c>
      <c r="F11" s="37"/>
      <c r="G11" s="39"/>
    </row>
    <row r="12" spans="1:7" ht="19.95" customHeight="1" x14ac:dyDescent="0.45">
      <c r="D12" s="36"/>
      <c r="E12" s="152" t="s">
        <v>25</v>
      </c>
      <c r="F12" s="37"/>
      <c r="G12" s="39"/>
    </row>
    <row r="13" spans="1:7" ht="19.95" customHeight="1" x14ac:dyDescent="0.45">
      <c r="D13" s="36"/>
      <c r="E13" s="152" t="s">
        <v>26</v>
      </c>
      <c r="F13" s="40"/>
      <c r="G13" s="39"/>
    </row>
    <row r="14" spans="1:7" ht="19.95" customHeight="1" x14ac:dyDescent="0.45">
      <c r="D14" s="41"/>
      <c r="E14" s="153" t="s">
        <v>27</v>
      </c>
      <c r="F14" s="42"/>
      <c r="G14" s="43"/>
    </row>
    <row r="15" spans="1:7" ht="19.95" customHeight="1" x14ac:dyDescent="0.45">
      <c r="B15" s="23">
        <f>B10+1</f>
        <v>3</v>
      </c>
      <c r="C15" s="24" t="str">
        <f>"ﾘｽﾄ!C"&amp;B15+2</f>
        <v>ﾘｽﾄ!C5</v>
      </c>
      <c r="D15" s="44" t="str">
        <f>IFERROR(VLOOKUP($B15,ﾘｽﾄ!A:B,2,FALSE),"")</f>
        <v>総務・人事統括部</v>
      </c>
      <c r="E15" s="108" t="s">
        <v>28</v>
      </c>
      <c r="F15" s="37" t="str" cm="1">
        <f t="array" aca="1" ref="F15" ca="1">HYPERLINK(INDIRECT(C15),D15)</f>
        <v>総務・人事統括部</v>
      </c>
      <c r="G15" s="45"/>
    </row>
    <row r="16" spans="1:7" ht="19.95" customHeight="1" x14ac:dyDescent="0.45">
      <c r="D16" s="36"/>
      <c r="E16" s="106" t="s">
        <v>29</v>
      </c>
      <c r="F16" s="37"/>
      <c r="G16" s="39"/>
    </row>
    <row r="17" spans="2:7" ht="19.95" customHeight="1" x14ac:dyDescent="0.45">
      <c r="D17" s="36"/>
      <c r="E17" s="106" t="s">
        <v>30</v>
      </c>
      <c r="F17" s="40"/>
      <c r="G17" s="39"/>
    </row>
    <row r="18" spans="2:7" ht="19.95" customHeight="1" x14ac:dyDescent="0.45">
      <c r="D18" s="36"/>
      <c r="E18" s="106" t="s">
        <v>31</v>
      </c>
      <c r="F18" s="40"/>
      <c r="G18" s="39"/>
    </row>
    <row r="19" spans="2:7" ht="19.95" customHeight="1" x14ac:dyDescent="0.45">
      <c r="D19" s="41"/>
      <c r="E19" s="107" t="s">
        <v>32</v>
      </c>
      <c r="F19" s="42"/>
      <c r="G19" s="43"/>
    </row>
    <row r="20" spans="2:7" ht="19.95" customHeight="1" x14ac:dyDescent="0.45">
      <c r="B20" s="23">
        <f>B15+1</f>
        <v>4</v>
      </c>
      <c r="C20" s="24" t="str">
        <f>"ﾘｽﾄ!C"&amp;B20+2</f>
        <v>ﾘｽﾄ!C6</v>
      </c>
      <c r="D20" s="44" t="str">
        <f>IFERROR(VLOOKUP($B20,ﾘｽﾄ!A:B,2,FALSE),"")</f>
        <v>経営戦略室</v>
      </c>
      <c r="E20" s="108" t="s">
        <v>33</v>
      </c>
      <c r="F20" s="37" t="str" cm="1">
        <f t="array" aca="1" ref="F20" ca="1">HYPERLINK(INDIRECT(C20),D20)</f>
        <v>経営戦略室</v>
      </c>
      <c r="G20" s="145" t="s">
        <v>34</v>
      </c>
    </row>
    <row r="21" spans="2:7" ht="19.95" customHeight="1" x14ac:dyDescent="0.45">
      <c r="D21" s="36"/>
      <c r="E21" s="106" t="s">
        <v>35</v>
      </c>
      <c r="F21" s="40"/>
      <c r="G21" s="162" t="s">
        <v>36</v>
      </c>
    </row>
    <row r="22" spans="2:7" ht="19.95" customHeight="1" x14ac:dyDescent="0.45">
      <c r="D22" s="36"/>
      <c r="E22" s="106" t="s">
        <v>37</v>
      </c>
      <c r="F22" s="40"/>
      <c r="G22" s="162" t="s">
        <v>38</v>
      </c>
    </row>
    <row r="23" spans="2:7" ht="19.95" customHeight="1" x14ac:dyDescent="0.45">
      <c r="D23" s="36"/>
      <c r="E23" s="106" t="s">
        <v>39</v>
      </c>
      <c r="F23" s="40"/>
      <c r="G23" s="39"/>
    </row>
    <row r="24" spans="2:7" ht="19.95" customHeight="1" x14ac:dyDescent="0.45">
      <c r="D24" s="41"/>
      <c r="E24" s="107" t="s">
        <v>40</v>
      </c>
      <c r="F24" s="42"/>
      <c r="G24" s="43"/>
    </row>
    <row r="25" spans="2:7" ht="19.95" customHeight="1" x14ac:dyDescent="0.45">
      <c r="B25" s="23">
        <f>B20+1</f>
        <v>5</v>
      </c>
      <c r="C25" s="24" t="str">
        <f>"ﾘｽﾄ!C"&amp;B25+2</f>
        <v>ﾘｽﾄ!C7</v>
      </c>
      <c r="D25" s="44" t="str">
        <f>IFERROR(VLOOKUP($B25,ﾘｽﾄ!A:B,2,FALSE),"")</f>
        <v>経営管理部</v>
      </c>
      <c r="E25" s="108" t="s">
        <v>41</v>
      </c>
      <c r="F25" s="37" t="str" cm="1">
        <f t="array" aca="1" ref="F25" ca="1">HYPERLINK(INDIRECT(C25),D25)</f>
        <v>経営管理部</v>
      </c>
      <c r="G25" s="145" t="s">
        <v>42</v>
      </c>
    </row>
    <row r="26" spans="2:7" ht="19.95" customHeight="1" x14ac:dyDescent="0.45">
      <c r="D26" s="36"/>
      <c r="E26" s="106" t="s">
        <v>43</v>
      </c>
      <c r="F26" s="40"/>
      <c r="G26" s="39"/>
    </row>
    <row r="27" spans="2:7" ht="19.95" customHeight="1" x14ac:dyDescent="0.45">
      <c r="D27" s="36"/>
      <c r="E27" s="106" t="s">
        <v>44</v>
      </c>
      <c r="F27" s="40"/>
      <c r="G27" s="39"/>
    </row>
    <row r="28" spans="2:7" ht="19.95" customHeight="1" x14ac:dyDescent="0.45">
      <c r="D28" s="36"/>
      <c r="E28" s="106" t="s">
        <v>45</v>
      </c>
      <c r="F28" s="40"/>
      <c r="G28" s="39"/>
    </row>
    <row r="29" spans="2:7" ht="19.95" customHeight="1" x14ac:dyDescent="0.45">
      <c r="D29" s="41"/>
      <c r="E29" s="107" t="s">
        <v>46</v>
      </c>
      <c r="F29" s="42"/>
      <c r="G29" s="43"/>
    </row>
    <row r="30" spans="2:7" ht="19.95" customHeight="1" x14ac:dyDescent="0.45">
      <c r="B30" s="23">
        <f>B25+1</f>
        <v>6</v>
      </c>
      <c r="C30" s="24" t="str">
        <f>"ﾘｽﾄ!C"&amp;B30+2</f>
        <v>ﾘｽﾄ!C8</v>
      </c>
      <c r="D30" s="44" t="str">
        <f>IFERROR(VLOOKUP($B30,ﾘｽﾄ!A:B,2,FALSE),"")</f>
        <v>財務部</v>
      </c>
      <c r="E30" s="154" t="s">
        <v>47</v>
      </c>
      <c r="F30" s="155" t="str" cm="1">
        <f t="array" aca="1" ref="F30" ca="1">HYPERLINK(INDIRECT(C30),D30)</f>
        <v>財務部</v>
      </c>
      <c r="G30" s="45" t="s">
        <v>48</v>
      </c>
    </row>
    <row r="31" spans="2:7" ht="19.95" customHeight="1" x14ac:dyDescent="0.45">
      <c r="D31" s="36"/>
      <c r="E31" s="156" t="s">
        <v>49</v>
      </c>
      <c r="F31" s="40"/>
      <c r="G31" s="39" t="s">
        <v>50</v>
      </c>
    </row>
    <row r="32" spans="2:7" ht="19.95" customHeight="1" x14ac:dyDescent="0.45">
      <c r="D32" s="36"/>
      <c r="E32" s="157" t="s">
        <v>51</v>
      </c>
      <c r="F32" s="40"/>
      <c r="G32" s="39" t="s">
        <v>52</v>
      </c>
    </row>
    <row r="33" spans="2:7" ht="19.95" customHeight="1" x14ac:dyDescent="0.45">
      <c r="D33" s="36"/>
      <c r="E33" s="156" t="s">
        <v>53</v>
      </c>
      <c r="F33" s="40"/>
      <c r="G33" s="39" t="s">
        <v>54</v>
      </c>
    </row>
    <row r="34" spans="2:7" ht="19.95" customHeight="1" x14ac:dyDescent="0.45">
      <c r="D34" s="36"/>
      <c r="E34" s="156" t="s">
        <v>55</v>
      </c>
      <c r="F34" s="40"/>
      <c r="G34" s="39" t="s">
        <v>56</v>
      </c>
    </row>
    <row r="35" spans="2:7" ht="19.95" customHeight="1" x14ac:dyDescent="0.45">
      <c r="D35" s="36"/>
      <c r="E35" s="156" t="s">
        <v>57</v>
      </c>
      <c r="F35" s="40"/>
      <c r="G35" s="39" t="s">
        <v>58</v>
      </c>
    </row>
    <row r="36" spans="2:7" ht="19.95" customHeight="1" x14ac:dyDescent="0.45">
      <c r="D36" s="41"/>
      <c r="E36" s="158" t="s">
        <v>59</v>
      </c>
      <c r="F36" s="42"/>
      <c r="G36" s="43"/>
    </row>
    <row r="37" spans="2:7" ht="19.95" customHeight="1" x14ac:dyDescent="0.45">
      <c r="B37" s="23">
        <f>B30+1</f>
        <v>7</v>
      </c>
      <c r="C37" s="24" t="str">
        <f>"ﾘｽﾄ!C"&amp;B37+2</f>
        <v>ﾘｽﾄ!C9</v>
      </c>
      <c r="D37" s="44" t="str">
        <f>IFERROR(VLOOKUP($B37,ﾘｽﾄ!A:B,2,FALSE),"")</f>
        <v>経営戦略・管理・財務統括部</v>
      </c>
      <c r="E37" s="106" t="s">
        <v>60</v>
      </c>
      <c r="F37" s="40"/>
      <c r="G37" s="39"/>
    </row>
    <row r="38" spans="2:7" ht="19.95" customHeight="1" x14ac:dyDescent="0.45">
      <c r="D38" s="36"/>
      <c r="E38" s="106" t="s">
        <v>61</v>
      </c>
      <c r="F38" s="40"/>
      <c r="G38" s="39"/>
    </row>
    <row r="39" spans="2:7" ht="19.95" customHeight="1" x14ac:dyDescent="0.45">
      <c r="D39" s="36"/>
      <c r="E39" s="106" t="s">
        <v>62</v>
      </c>
      <c r="F39" s="40"/>
      <c r="G39" s="39"/>
    </row>
    <row r="40" spans="2:7" ht="19.95" customHeight="1" x14ac:dyDescent="0.45">
      <c r="D40" s="36"/>
      <c r="E40" s="106" t="s">
        <v>63</v>
      </c>
      <c r="F40" s="40"/>
      <c r="G40" s="39"/>
    </row>
    <row r="41" spans="2:7" ht="19.95" customHeight="1" x14ac:dyDescent="0.45">
      <c r="D41" s="41"/>
      <c r="E41" s="160" t="s">
        <v>64</v>
      </c>
      <c r="F41" s="42"/>
      <c r="G41" s="43"/>
    </row>
    <row r="42" spans="2:7" ht="19.95" customHeight="1" x14ac:dyDescent="0.45">
      <c r="B42" s="23">
        <f>B37+1</f>
        <v>8</v>
      </c>
      <c r="C42" s="24" t="str">
        <f>"ﾘｽﾄ!C"&amp;B42+2</f>
        <v>ﾘｽﾄ!C10</v>
      </c>
      <c r="D42" s="44" t="str">
        <f>IFERROR(VLOOKUP($B42,ﾘｽﾄ!A:B,2,FALSE),"")</f>
        <v>公共第1プロデュース部</v>
      </c>
      <c r="E42" s="108" t="s">
        <v>65</v>
      </c>
      <c r="F42" s="37" t="str" cm="1">
        <f t="array" aca="1" ref="F42" ca="1">HYPERLINK(INDIRECT(C42),D42)</f>
        <v>公共第1プロデュース部</v>
      </c>
      <c r="G42" s="45"/>
    </row>
    <row r="43" spans="2:7" ht="19.95" customHeight="1" x14ac:dyDescent="0.45">
      <c r="D43" s="36"/>
      <c r="E43" s="106" t="s">
        <v>66</v>
      </c>
      <c r="F43" s="40"/>
      <c r="G43" s="39"/>
    </row>
    <row r="44" spans="2:7" ht="19.95" customHeight="1" x14ac:dyDescent="0.45">
      <c r="D44" s="36"/>
      <c r="E44" s="106" t="s">
        <v>67</v>
      </c>
      <c r="F44" s="40"/>
      <c r="G44" s="39"/>
    </row>
    <row r="45" spans="2:7" ht="19.95" customHeight="1" x14ac:dyDescent="0.45">
      <c r="D45" s="36"/>
      <c r="E45" s="106" t="s">
        <v>68</v>
      </c>
      <c r="F45" s="40"/>
      <c r="G45" s="39"/>
    </row>
    <row r="46" spans="2:7" ht="19.95" customHeight="1" x14ac:dyDescent="0.45">
      <c r="D46" s="41"/>
      <c r="E46" s="107" t="s">
        <v>69</v>
      </c>
      <c r="F46" s="42"/>
      <c r="G46" s="146"/>
    </row>
    <row r="47" spans="2:7" ht="19.95" customHeight="1" x14ac:dyDescent="0.45">
      <c r="B47" s="23">
        <f>B42+1</f>
        <v>9</v>
      </c>
      <c r="C47" s="24" t="str">
        <f>"ﾘｽﾄ!C"&amp;B47+2</f>
        <v>ﾘｽﾄ!C11</v>
      </c>
      <c r="D47" s="44" t="str">
        <f>IFERROR(VLOOKUP($B47,ﾘｽﾄ!A:B,2,FALSE),"")</f>
        <v>公共第2プロデュース部</v>
      </c>
      <c r="E47" s="114" t="s">
        <v>70</v>
      </c>
      <c r="F47" s="46" t="str" cm="1">
        <f t="array" aca="1" ref="F47" ca="1">HYPERLINK(INDIRECT(C47),D47)</f>
        <v>公共第2プロデュース部</v>
      </c>
      <c r="G47" s="147" t="s">
        <v>71</v>
      </c>
    </row>
    <row r="48" spans="2:7" ht="19.95" customHeight="1" x14ac:dyDescent="0.45">
      <c r="D48" s="36"/>
      <c r="E48" s="115" t="s">
        <v>72</v>
      </c>
      <c r="F48" s="40"/>
      <c r="G48" s="148" t="s">
        <v>73</v>
      </c>
    </row>
    <row r="49" spans="2:7" ht="19.95" customHeight="1" x14ac:dyDescent="0.45">
      <c r="D49" s="36"/>
      <c r="E49" s="115" t="s">
        <v>74</v>
      </c>
      <c r="F49" s="40"/>
      <c r="G49" s="148" t="s">
        <v>75</v>
      </c>
    </row>
    <row r="50" spans="2:7" ht="19.95" customHeight="1" x14ac:dyDescent="0.45">
      <c r="D50" s="36"/>
      <c r="E50" s="115" t="s">
        <v>76</v>
      </c>
      <c r="F50" s="40"/>
      <c r="G50" s="148" t="s">
        <v>77</v>
      </c>
    </row>
    <row r="51" spans="2:7" ht="19.95" customHeight="1" x14ac:dyDescent="0.45">
      <c r="D51" s="41"/>
      <c r="E51" s="116" t="s">
        <v>78</v>
      </c>
      <c r="F51" s="42"/>
      <c r="G51" s="43"/>
    </row>
    <row r="52" spans="2:7" ht="19.95" customHeight="1" x14ac:dyDescent="0.45">
      <c r="B52" s="23">
        <f t="shared" ref="B52" si="0">B47+1</f>
        <v>10</v>
      </c>
      <c r="C52" s="24" t="str">
        <f>"ﾘｽﾄ!C"&amp;B52+2</f>
        <v>ﾘｽﾄ!C12</v>
      </c>
      <c r="D52" s="44" t="str">
        <f>IFERROR(VLOOKUP($B52,ﾘｽﾄ!A:B,2,FALSE),"")</f>
        <v>公共DX推進部</v>
      </c>
      <c r="E52" s="108" t="s">
        <v>79</v>
      </c>
      <c r="F52" s="46" t="str" cm="1">
        <f t="array" aca="1" ref="F52" ca="1">HYPERLINK(INDIRECT(C52),D52)</f>
        <v>公共DX推進部</v>
      </c>
      <c r="G52" s="45"/>
    </row>
    <row r="53" spans="2:7" ht="19.95" customHeight="1" x14ac:dyDescent="0.45">
      <c r="D53" s="36"/>
      <c r="E53" s="106" t="s">
        <v>80</v>
      </c>
      <c r="F53" s="40"/>
      <c r="G53" s="39"/>
    </row>
    <row r="54" spans="2:7" ht="19.95" customHeight="1" x14ac:dyDescent="0.45">
      <c r="D54" s="36"/>
      <c r="E54" s="106" t="s">
        <v>81</v>
      </c>
      <c r="F54" s="40"/>
      <c r="G54" s="39"/>
    </row>
    <row r="55" spans="2:7" ht="19.95" customHeight="1" x14ac:dyDescent="0.45">
      <c r="D55" s="36"/>
      <c r="E55" s="106" t="s">
        <v>82</v>
      </c>
      <c r="F55" s="40"/>
      <c r="G55" s="39"/>
    </row>
    <row r="56" spans="2:7" ht="19.95" customHeight="1" x14ac:dyDescent="0.45">
      <c r="D56" s="41"/>
      <c r="E56" s="107" t="s">
        <v>83</v>
      </c>
      <c r="F56" s="42"/>
      <c r="G56" s="43"/>
    </row>
    <row r="57" spans="2:7" ht="19.95" customHeight="1" x14ac:dyDescent="0.45">
      <c r="B57" s="23">
        <f t="shared" ref="B57" si="1">B52+1</f>
        <v>11</v>
      </c>
      <c r="C57" s="24" t="str">
        <f>"ﾘｽﾄ!C"&amp;B57+2</f>
        <v>ﾘｽﾄ!C13</v>
      </c>
      <c r="D57" s="44" t="str">
        <f>IFERROR(VLOOKUP($B57,ﾘｽﾄ!A:B,2,FALSE),"")</f>
        <v>社会インフラサービス部</v>
      </c>
      <c r="E57" s="164" t="s">
        <v>84</v>
      </c>
      <c r="F57" s="46" t="str" cm="1">
        <f t="array" aca="1" ref="F57" ca="1">HYPERLINK(INDIRECT(C57),D57)</f>
        <v>社会インフラサービス部</v>
      </c>
      <c r="G57" s="45"/>
    </row>
    <row r="58" spans="2:7" ht="19.95" customHeight="1" x14ac:dyDescent="0.45">
      <c r="D58" s="36"/>
      <c r="E58" s="163" t="s">
        <v>85</v>
      </c>
      <c r="F58" s="40"/>
      <c r="G58" s="39"/>
    </row>
    <row r="59" spans="2:7" ht="19.95" customHeight="1" x14ac:dyDescent="0.45">
      <c r="D59" s="36"/>
      <c r="E59" s="163" t="s">
        <v>86</v>
      </c>
      <c r="F59" s="40"/>
      <c r="G59" s="39"/>
    </row>
    <row r="60" spans="2:7" ht="19.95" customHeight="1" x14ac:dyDescent="0.45">
      <c r="D60" s="36"/>
      <c r="E60" s="163" t="s">
        <v>87</v>
      </c>
      <c r="F60" s="40"/>
      <c r="G60" s="39"/>
    </row>
    <row r="61" spans="2:7" ht="19.95" customHeight="1" x14ac:dyDescent="0.45">
      <c r="D61" s="36"/>
      <c r="E61" s="163" t="s">
        <v>88</v>
      </c>
      <c r="F61" s="40"/>
      <c r="G61" s="39"/>
    </row>
    <row r="62" spans="2:7" ht="19.95" customHeight="1" x14ac:dyDescent="0.45">
      <c r="D62" s="41"/>
      <c r="E62" s="165" t="s">
        <v>89</v>
      </c>
      <c r="F62" s="42"/>
      <c r="G62" s="43"/>
    </row>
    <row r="63" spans="2:7" ht="19.95" customHeight="1" x14ac:dyDescent="0.45">
      <c r="B63" s="23">
        <f t="shared" ref="B63" si="2">B57+1</f>
        <v>12</v>
      </c>
      <c r="C63" s="24" t="str">
        <f>"ﾘｽﾄ!C"&amp;B63+2</f>
        <v>ﾘｽﾄ!C14</v>
      </c>
      <c r="D63" s="44" t="str">
        <f>IFERROR(VLOOKUP($B63,ﾘｽﾄ!A:B,2,FALSE),"")</f>
        <v>公共ビジネス事業部</v>
      </c>
      <c r="E63" s="108"/>
      <c r="F63" s="46" t="str" cm="1">
        <f t="array" aca="1" ref="F63" ca="1">HYPERLINK(INDIRECT(C63),D63)</f>
        <v>公共ビジネス事業部</v>
      </c>
      <c r="G63" s="45"/>
    </row>
    <row r="64" spans="2:7" ht="19.95" customHeight="1" x14ac:dyDescent="0.45">
      <c r="D64" s="36"/>
      <c r="E64" s="106"/>
      <c r="F64" s="40"/>
      <c r="G64" s="39"/>
    </row>
    <row r="65" spans="2:7" ht="19.95" customHeight="1" x14ac:dyDescent="0.45">
      <c r="D65" s="36"/>
      <c r="E65" s="106"/>
      <c r="F65" s="40"/>
      <c r="G65" s="39"/>
    </row>
    <row r="66" spans="2:7" ht="19.95" customHeight="1" x14ac:dyDescent="0.45">
      <c r="D66" s="36"/>
      <c r="E66" s="106"/>
      <c r="F66" s="40"/>
      <c r="G66" s="39"/>
    </row>
    <row r="67" spans="2:7" ht="19.95" customHeight="1" x14ac:dyDescent="0.45">
      <c r="D67" s="41"/>
      <c r="E67" s="107"/>
      <c r="F67" s="42"/>
      <c r="G67" s="43"/>
    </row>
    <row r="68" spans="2:7" ht="19.95" customHeight="1" x14ac:dyDescent="0.45">
      <c r="B68" s="23">
        <f t="shared" ref="B68" si="3">B63+1</f>
        <v>13</v>
      </c>
      <c r="C68" s="24" t="str">
        <f>"ﾘｽﾄ!C"&amp;B68+2</f>
        <v>ﾘｽﾄ!C15</v>
      </c>
      <c r="D68" s="44" t="str">
        <f>IFERROR(VLOOKUP($B68,ﾘｽﾄ!A:B,2,FALSE),"")</f>
        <v>ITサービスマネジメント部</v>
      </c>
      <c r="E68" s="142" t="s">
        <v>90</v>
      </c>
      <c r="F68" s="46" t="str" cm="1">
        <f t="array" aca="1" ref="F68" ca="1">HYPERLINK(INDIRECT(C68),D68)</f>
        <v>ITサービスマネジメント部</v>
      </c>
      <c r="G68" s="45"/>
    </row>
    <row r="69" spans="2:7" ht="19.95" customHeight="1" x14ac:dyDescent="0.45">
      <c r="D69" s="36"/>
      <c r="E69" s="140" t="s">
        <v>91</v>
      </c>
      <c r="F69" s="40"/>
      <c r="G69" s="39"/>
    </row>
    <row r="70" spans="2:7" ht="19.95" customHeight="1" x14ac:dyDescent="0.45">
      <c r="D70" s="36"/>
      <c r="E70" s="143" t="s">
        <v>92</v>
      </c>
      <c r="F70" s="40"/>
      <c r="G70" s="39"/>
    </row>
    <row r="71" spans="2:7" ht="19.95" customHeight="1" x14ac:dyDescent="0.45">
      <c r="D71" s="36"/>
      <c r="E71" s="140" t="s">
        <v>93</v>
      </c>
      <c r="F71" s="40"/>
      <c r="G71" s="39"/>
    </row>
    <row r="72" spans="2:7" ht="19.95" customHeight="1" x14ac:dyDescent="0.45">
      <c r="D72" s="41"/>
      <c r="E72" s="144" t="s">
        <v>94</v>
      </c>
      <c r="F72" s="42"/>
      <c r="G72" s="43"/>
    </row>
    <row r="73" spans="2:7" ht="19.95" customHeight="1" x14ac:dyDescent="0.45">
      <c r="B73" s="23">
        <f t="shared" ref="B73" si="4">B68+1</f>
        <v>14</v>
      </c>
      <c r="C73" s="24" t="str">
        <f>"ﾘｽﾄ!C"&amp;B73+2</f>
        <v>ﾘｽﾄ!C16</v>
      </c>
      <c r="D73" s="44" t="str">
        <f>IFERROR(VLOOKUP($B73,ﾘｽﾄ!A:B,2,FALSE),"")</f>
        <v>標準化・ガバメントクラウド推進部</v>
      </c>
      <c r="E73" s="108" t="s">
        <v>95</v>
      </c>
      <c r="F73" s="46" t="str" cm="1">
        <f t="array" aca="1" ref="F73" ca="1">HYPERLINK(INDIRECT(C73),D73)</f>
        <v>標準化・ガバメントクラウド推進部</v>
      </c>
      <c r="G73" s="45"/>
    </row>
    <row r="74" spans="2:7" ht="19.95" customHeight="1" x14ac:dyDescent="0.45">
      <c r="D74" s="36"/>
      <c r="E74" s="106" t="s">
        <v>96</v>
      </c>
      <c r="F74" s="40"/>
      <c r="G74" s="39"/>
    </row>
    <row r="75" spans="2:7" ht="19.95" customHeight="1" x14ac:dyDescent="0.45">
      <c r="D75" s="36"/>
      <c r="E75" s="106" t="s">
        <v>97</v>
      </c>
      <c r="F75" s="40"/>
      <c r="G75" s="39"/>
    </row>
    <row r="76" spans="2:7" ht="19.95" customHeight="1" x14ac:dyDescent="0.45">
      <c r="D76" s="36"/>
      <c r="E76" s="106" t="s">
        <v>98</v>
      </c>
      <c r="F76" s="40"/>
      <c r="G76" s="39"/>
    </row>
    <row r="77" spans="2:7" ht="19.95" customHeight="1" x14ac:dyDescent="0.45">
      <c r="D77" s="41"/>
      <c r="E77" s="107" t="s">
        <v>99</v>
      </c>
      <c r="F77" s="42"/>
      <c r="G77" s="43"/>
    </row>
    <row r="78" spans="2:7" ht="19.95" customHeight="1" x14ac:dyDescent="0.45">
      <c r="B78" s="23">
        <f t="shared" ref="B78" si="5">B73+1</f>
        <v>15</v>
      </c>
      <c r="C78" s="24" t="str">
        <f>"ﾘｽﾄ!C"&amp;B78+2</f>
        <v>ﾘｽﾄ!C17</v>
      </c>
      <c r="D78" s="44" t="str">
        <f>IFERROR(VLOOKUP($B78,ﾘｽﾄ!A:B,2,FALSE),"")</f>
        <v>ITサービス事業部</v>
      </c>
      <c r="E78" s="108" t="s">
        <v>100</v>
      </c>
      <c r="F78" s="46" t="str" cm="1">
        <f t="array" aca="1" ref="F78" ca="1">HYPERLINK(INDIRECT(C78),D78)</f>
        <v>ITサービス事業部</v>
      </c>
      <c r="G78" s="45"/>
    </row>
    <row r="79" spans="2:7" ht="19.95" customHeight="1" x14ac:dyDescent="0.45">
      <c r="D79" s="36"/>
      <c r="E79" s="106" t="s">
        <v>101</v>
      </c>
      <c r="F79" s="40"/>
      <c r="G79" s="39"/>
    </row>
    <row r="80" spans="2:7" ht="19.95" customHeight="1" x14ac:dyDescent="0.45">
      <c r="D80" s="36"/>
      <c r="E80" s="106" t="s">
        <v>102</v>
      </c>
      <c r="F80" s="40"/>
      <c r="G80" s="39"/>
    </row>
    <row r="81" spans="2:7" ht="19.95" customHeight="1" x14ac:dyDescent="0.45">
      <c r="D81" s="36"/>
      <c r="E81" s="106" t="s">
        <v>103</v>
      </c>
      <c r="F81" s="40"/>
      <c r="G81" s="39"/>
    </row>
    <row r="82" spans="2:7" ht="19.95" customHeight="1" x14ac:dyDescent="0.45">
      <c r="D82" s="41"/>
      <c r="E82" s="107" t="s">
        <v>104</v>
      </c>
      <c r="F82" s="42"/>
      <c r="G82" s="43"/>
    </row>
    <row r="83" spans="2:7" ht="19.95" customHeight="1" x14ac:dyDescent="0.45">
      <c r="B83" s="23">
        <f t="shared" ref="B83" si="6">B78+1</f>
        <v>16</v>
      </c>
      <c r="C83" s="24" t="str">
        <f>"ﾘｽﾄ!C"&amp;B83+2</f>
        <v>ﾘｽﾄ!C18</v>
      </c>
      <c r="D83" s="44" t="str">
        <f>IFERROR(VLOOKUP($B83,ﾘｽﾄ!A:B,2,FALSE),"")</f>
        <v>DXビジネスプロデュース部</v>
      </c>
      <c r="E83" s="108" t="s">
        <v>105</v>
      </c>
      <c r="F83" s="46" t="str" cm="1">
        <f t="array" aca="1" ref="F83" ca="1">HYPERLINK(INDIRECT(C83),D83)</f>
        <v>DXビジネスプロデュース部</v>
      </c>
      <c r="G83" s="45"/>
    </row>
    <row r="84" spans="2:7" ht="19.95" customHeight="1" x14ac:dyDescent="0.45">
      <c r="D84" s="36"/>
      <c r="E84" s="106" t="s">
        <v>106</v>
      </c>
      <c r="F84" s="40"/>
      <c r="G84" s="39"/>
    </row>
    <row r="85" spans="2:7" ht="19.95" customHeight="1" x14ac:dyDescent="0.45">
      <c r="D85" s="36"/>
      <c r="E85" s="106" t="s">
        <v>107</v>
      </c>
      <c r="F85" s="40"/>
      <c r="G85" s="39"/>
    </row>
    <row r="86" spans="2:7" ht="19.95" customHeight="1" x14ac:dyDescent="0.45">
      <c r="D86" s="36"/>
      <c r="E86" s="106" t="s">
        <v>108</v>
      </c>
      <c r="F86" s="40"/>
      <c r="G86" s="39"/>
    </row>
    <row r="87" spans="2:7" ht="19.95" customHeight="1" x14ac:dyDescent="0.45">
      <c r="D87" s="41"/>
      <c r="E87" s="107" t="s">
        <v>109</v>
      </c>
      <c r="F87" s="42"/>
      <c r="G87" s="43"/>
    </row>
    <row r="88" spans="2:7" ht="19.95" customHeight="1" x14ac:dyDescent="0.45">
      <c r="B88" s="23">
        <f t="shared" ref="B88" si="7">B83+1</f>
        <v>17</v>
      </c>
      <c r="C88" s="24" t="str">
        <f>"ﾘｽﾄ!C"&amp;B88+2</f>
        <v>ﾘｽﾄ!C19</v>
      </c>
      <c r="D88" s="44" t="str">
        <f>IFERROR(VLOOKUP($B88,ﾘｽﾄ!A:B,2,FALSE),"")</f>
        <v>九州ビジネスプロデュース部</v>
      </c>
      <c r="E88" s="108" t="s">
        <v>110</v>
      </c>
      <c r="F88" s="46" t="str" cm="1">
        <f t="array" aca="1" ref="F88" ca="1">HYPERLINK(INDIRECT(C88),D88)</f>
        <v>九州ビジネスプロデュース部</v>
      </c>
      <c r="G88" s="45"/>
    </row>
    <row r="89" spans="2:7" ht="19.95" customHeight="1" x14ac:dyDescent="0.45">
      <c r="D89" s="36"/>
      <c r="E89" s="106" t="s">
        <v>111</v>
      </c>
      <c r="F89" s="40"/>
      <c r="G89" s="39"/>
    </row>
    <row r="90" spans="2:7" ht="19.95" customHeight="1" x14ac:dyDescent="0.45">
      <c r="D90" s="36"/>
      <c r="E90" s="106" t="s">
        <v>112</v>
      </c>
      <c r="F90" s="40"/>
      <c r="G90" s="39"/>
    </row>
    <row r="91" spans="2:7" ht="19.95" customHeight="1" x14ac:dyDescent="0.45">
      <c r="D91" s="36"/>
      <c r="E91" s="106" t="s">
        <v>113</v>
      </c>
      <c r="F91" s="40"/>
      <c r="G91" s="39"/>
    </row>
    <row r="92" spans="2:7" ht="19.95" customHeight="1" x14ac:dyDescent="0.45">
      <c r="D92" s="41"/>
      <c r="E92" s="107" t="s">
        <v>114</v>
      </c>
      <c r="F92" s="42"/>
      <c r="G92" s="43"/>
    </row>
    <row r="93" spans="2:7" ht="19.95" customHeight="1" x14ac:dyDescent="0.45">
      <c r="B93" s="23">
        <f t="shared" ref="B93" si="8">B88+1</f>
        <v>18</v>
      </c>
      <c r="C93" s="24" t="str">
        <f>"ﾘｽﾄ!C"&amp;B93+2</f>
        <v>ﾘｽﾄ!C20</v>
      </c>
      <c r="D93" s="44" t="str">
        <f>IFERROR(VLOOKUP($B93,ﾘｽﾄ!A:B,2,FALSE),"")</f>
        <v>DXビジネスソリューション部</v>
      </c>
      <c r="E93" s="108" t="s">
        <v>115</v>
      </c>
      <c r="F93" s="46" t="str" cm="1">
        <f t="array" aca="1" ref="F93" ca="1">HYPERLINK(INDIRECT(C93),D93)</f>
        <v>DXビジネスソリューション部</v>
      </c>
      <c r="G93" s="45"/>
    </row>
    <row r="94" spans="2:7" ht="19.95" customHeight="1" x14ac:dyDescent="0.45">
      <c r="D94" s="36"/>
      <c r="E94" s="106" t="s">
        <v>116</v>
      </c>
      <c r="F94" s="40"/>
      <c r="G94" s="39"/>
    </row>
    <row r="95" spans="2:7" ht="19.95" customHeight="1" x14ac:dyDescent="0.45">
      <c r="D95" s="36"/>
      <c r="E95" s="106" t="s">
        <v>117</v>
      </c>
      <c r="F95" s="40"/>
      <c r="G95" s="39"/>
    </row>
    <row r="96" spans="2:7" ht="19.95" customHeight="1" x14ac:dyDescent="0.45">
      <c r="D96" s="36"/>
      <c r="E96" s="106" t="s">
        <v>118</v>
      </c>
      <c r="F96" s="40"/>
      <c r="G96" s="39"/>
    </row>
    <row r="97" spans="2:7" ht="19.95" customHeight="1" x14ac:dyDescent="0.45">
      <c r="D97" s="41"/>
      <c r="E97" s="107" t="s">
        <v>119</v>
      </c>
      <c r="F97" s="42"/>
      <c r="G97" s="43"/>
    </row>
    <row r="98" spans="2:7" ht="19.95" customHeight="1" x14ac:dyDescent="0.45">
      <c r="B98" s="23">
        <f t="shared" ref="B98" si="9">B93+1</f>
        <v>19</v>
      </c>
      <c r="C98" s="24" t="str">
        <f>"ﾘｽﾄ!C"&amp;B98+2</f>
        <v>ﾘｽﾄ!C21</v>
      </c>
      <c r="D98" s="44" t="str">
        <f>IFERROR(VLOOKUP($B98,ﾘｽﾄ!A:B,2,FALSE),"")</f>
        <v>システムサービス部</v>
      </c>
      <c r="E98" s="135" t="s">
        <v>120</v>
      </c>
      <c r="F98" s="46" t="str" cm="1">
        <f t="array" aca="1" ref="F98" ca="1">HYPERLINK(INDIRECT(C98),D98)</f>
        <v>システムサービス部</v>
      </c>
      <c r="G98" s="45"/>
    </row>
    <row r="99" spans="2:7" ht="19.95" customHeight="1" x14ac:dyDescent="0.45">
      <c r="D99" s="36"/>
      <c r="E99" s="159" t="s">
        <v>121</v>
      </c>
      <c r="F99" s="40"/>
      <c r="G99" s="39"/>
    </row>
    <row r="100" spans="2:7" ht="19.95" customHeight="1" x14ac:dyDescent="0.45">
      <c r="D100" s="36"/>
      <c r="E100" s="106" t="s">
        <v>122</v>
      </c>
      <c r="F100" s="40"/>
      <c r="G100" s="39"/>
    </row>
    <row r="101" spans="2:7" ht="19.95" customHeight="1" x14ac:dyDescent="0.45">
      <c r="D101" s="36"/>
      <c r="E101" s="106" t="s">
        <v>123</v>
      </c>
      <c r="F101" s="40"/>
      <c r="G101" s="39"/>
    </row>
    <row r="102" spans="2:7" ht="19.95" customHeight="1" x14ac:dyDescent="0.45">
      <c r="D102" s="41"/>
      <c r="E102" s="154" t="s">
        <v>124</v>
      </c>
      <c r="F102" s="42"/>
      <c r="G102" s="43"/>
    </row>
    <row r="103" spans="2:7" ht="19.95" customHeight="1" x14ac:dyDescent="0.45">
      <c r="B103" s="23">
        <f t="shared" ref="B103" si="10">B98+1</f>
        <v>20</v>
      </c>
      <c r="C103" s="24" t="str">
        <f>"ﾘｽﾄ!C"&amp;B103+2</f>
        <v>ﾘｽﾄ!C22</v>
      </c>
      <c r="D103" s="44" t="str">
        <f>IFERROR(VLOOKUP($B103,ﾘｽﾄ!A:B,2,FALSE),"")</f>
        <v>DX・海外連携推進室</v>
      </c>
      <c r="E103" s="108" t="s">
        <v>125</v>
      </c>
      <c r="F103" s="46" t="str" cm="1">
        <f t="array" aca="1" ref="F103" ca="1">HYPERLINK(INDIRECT(C103),D103)</f>
        <v>DX・海外連携推進室</v>
      </c>
      <c r="G103" s="45"/>
    </row>
    <row r="104" spans="2:7" ht="19.95" customHeight="1" x14ac:dyDescent="0.45">
      <c r="D104" s="36"/>
      <c r="E104" s="106" t="s">
        <v>126</v>
      </c>
      <c r="F104" s="40"/>
      <c r="G104" s="39"/>
    </row>
    <row r="105" spans="2:7" ht="19.95" customHeight="1" x14ac:dyDescent="0.45">
      <c r="D105" s="36"/>
      <c r="E105" s="106" t="s">
        <v>127</v>
      </c>
      <c r="F105" s="40"/>
      <c r="G105" s="39"/>
    </row>
    <row r="106" spans="2:7" ht="19.95" customHeight="1" x14ac:dyDescent="0.45">
      <c r="D106" s="36"/>
      <c r="E106" s="106" t="s">
        <v>128</v>
      </c>
      <c r="F106" s="40"/>
      <c r="G106" s="39"/>
    </row>
    <row r="107" spans="2:7" ht="19.95" customHeight="1" x14ac:dyDescent="0.45">
      <c r="D107" s="41"/>
      <c r="E107" s="107" t="s">
        <v>129</v>
      </c>
      <c r="F107" s="42"/>
      <c r="G107" s="43"/>
    </row>
    <row r="108" spans="2:7" ht="19.95" customHeight="1" x14ac:dyDescent="0.45">
      <c r="B108" s="23">
        <f t="shared" ref="B108" si="11">B103+1</f>
        <v>21</v>
      </c>
      <c r="C108" s="24" t="str">
        <f>"ﾘｽﾄ!C"&amp;B108+2</f>
        <v>ﾘｽﾄ!C23</v>
      </c>
      <c r="D108" s="44" t="str">
        <f>IFERROR(VLOOKUP($B108,ﾘｽﾄ!A:B,2,FALSE),"")</f>
        <v>DX推進部</v>
      </c>
      <c r="E108" s="108" t="s">
        <v>130</v>
      </c>
      <c r="F108" s="46" t="str" cm="1">
        <f t="array" aca="1" ref="F108" ca="1">HYPERLINK(INDIRECT(C108),D108)</f>
        <v>DX推進部</v>
      </c>
      <c r="G108" s="45"/>
    </row>
    <row r="109" spans="2:7" ht="19.95" customHeight="1" x14ac:dyDescent="0.45">
      <c r="D109" s="36"/>
      <c r="E109" s="106" t="s">
        <v>131</v>
      </c>
      <c r="F109" s="40"/>
      <c r="G109" s="39"/>
    </row>
    <row r="110" spans="2:7" ht="19.95" customHeight="1" x14ac:dyDescent="0.45">
      <c r="D110" s="36"/>
      <c r="E110" s="106" t="s">
        <v>132</v>
      </c>
      <c r="F110" s="40"/>
      <c r="G110" s="39"/>
    </row>
    <row r="111" spans="2:7" ht="19.95" customHeight="1" x14ac:dyDescent="0.45">
      <c r="D111" s="36"/>
      <c r="E111" s="106" t="s">
        <v>133</v>
      </c>
      <c r="F111" s="40"/>
      <c r="G111" s="39"/>
    </row>
    <row r="112" spans="2:7" ht="19.95" customHeight="1" x14ac:dyDescent="0.45">
      <c r="D112" s="41"/>
      <c r="E112" s="107" t="s">
        <v>134</v>
      </c>
      <c r="F112" s="42"/>
      <c r="G112" t="s">
        <v>135</v>
      </c>
    </row>
    <row r="113" spans="2:7" ht="19.95" customHeight="1" x14ac:dyDescent="0.45">
      <c r="B113" s="23">
        <f t="shared" ref="B113" si="12">B108+1</f>
        <v>22</v>
      </c>
      <c r="C113" s="24" t="str">
        <f>"ﾘｽﾄ!C"&amp;B113+2</f>
        <v>ﾘｽﾄ!C24</v>
      </c>
      <c r="D113" s="44" t="str">
        <f>IFERROR(VLOOKUP($B113,ﾘｽﾄ!A:B,2,FALSE),"")</f>
        <v>DXプロデュース事業部</v>
      </c>
      <c r="E113" s="108" t="s">
        <v>136</v>
      </c>
      <c r="F113" s="46" t="str" cm="1">
        <f t="array" aca="1" ref="F113" ca="1">HYPERLINK(INDIRECT(C113),D113)</f>
        <v>DXプロデュース事業部</v>
      </c>
      <c r="G113" s="45"/>
    </row>
    <row r="114" spans="2:7" ht="19.95" customHeight="1" x14ac:dyDescent="0.45">
      <c r="D114" s="36"/>
      <c r="E114" s="106" t="s">
        <v>137</v>
      </c>
      <c r="F114" s="40"/>
      <c r="G114" s="39"/>
    </row>
    <row r="115" spans="2:7" ht="19.95" customHeight="1" x14ac:dyDescent="0.45">
      <c r="D115" s="36"/>
      <c r="E115" s="106"/>
      <c r="F115" s="40"/>
      <c r="G115" s="39"/>
    </row>
    <row r="116" spans="2:7" ht="19.95" customHeight="1" x14ac:dyDescent="0.45">
      <c r="D116" s="36"/>
      <c r="E116" s="106"/>
      <c r="F116" s="40"/>
      <c r="G116" s="39"/>
    </row>
    <row r="117" spans="2:7" ht="19.95" customHeight="1" x14ac:dyDescent="0.45">
      <c r="D117" s="41"/>
      <c r="E117" s="107"/>
      <c r="F117" s="42"/>
      <c r="G117" s="43"/>
    </row>
    <row r="118" spans="2:7" ht="19.95" customHeight="1" x14ac:dyDescent="0.45">
      <c r="B118" s="23">
        <f t="shared" ref="B118" si="13">B113+1</f>
        <v>23</v>
      </c>
      <c r="C118" s="24" t="str">
        <f>"ﾘｽﾄ!C"&amp;B118+2</f>
        <v>ﾘｽﾄ!C25</v>
      </c>
      <c r="D118" s="44" t="str">
        <f>IFERROR(VLOOKUP($B118,ﾘｽﾄ!A:B,2,FALSE),"")</f>
        <v>ビジネスプロデュース部</v>
      </c>
      <c r="E118" s="108" t="s">
        <v>138</v>
      </c>
      <c r="F118" s="46" t="str" cm="1">
        <f t="array" aca="1" ref="F118" ca="1">HYPERLINK(INDIRECT(C118),D118)</f>
        <v>ビジネスプロデュース部</v>
      </c>
      <c r="G118" s="45"/>
    </row>
    <row r="119" spans="2:7" ht="19.95" customHeight="1" x14ac:dyDescent="0.45">
      <c r="D119" s="36"/>
      <c r="E119" s="106" t="s">
        <v>139</v>
      </c>
      <c r="F119" s="40"/>
      <c r="G119" s="39"/>
    </row>
    <row r="120" spans="2:7" ht="19.95" customHeight="1" x14ac:dyDescent="0.45">
      <c r="D120" s="36"/>
      <c r="E120" s="106" t="s">
        <v>140</v>
      </c>
      <c r="F120" s="40"/>
      <c r="G120" s="39"/>
    </row>
    <row r="121" spans="2:7" ht="19.95" customHeight="1" x14ac:dyDescent="0.45">
      <c r="D121" s="36"/>
      <c r="E121" s="106" t="s">
        <v>141</v>
      </c>
      <c r="F121" s="40"/>
      <c r="G121" s="39"/>
    </row>
    <row r="122" spans="2:7" ht="19.95" customHeight="1" x14ac:dyDescent="0.45">
      <c r="D122" s="36"/>
      <c r="E122" s="106" t="s">
        <v>142</v>
      </c>
      <c r="F122" s="40"/>
      <c r="G122" s="39"/>
    </row>
    <row r="123" spans="2:7" ht="19.95" customHeight="1" x14ac:dyDescent="0.45">
      <c r="D123" s="41"/>
      <c r="E123" s="107" t="s">
        <v>143</v>
      </c>
      <c r="F123" s="42"/>
      <c r="G123" s="43"/>
    </row>
    <row r="124" spans="2:7" ht="19.95" customHeight="1" x14ac:dyDescent="0.45">
      <c r="B124" s="23">
        <f t="shared" ref="B124" si="14">B118+1</f>
        <v>24</v>
      </c>
      <c r="C124" s="24" t="str">
        <f>"ﾘｽﾄ!C"&amp;B124+2</f>
        <v>ﾘｽﾄ!C26</v>
      </c>
      <c r="D124" s="44" t="str">
        <f>IFERROR(VLOOKUP($B124,ﾘｽﾄ!A:B,2,FALSE),"")</f>
        <v>インフラビジネス推進部</v>
      </c>
      <c r="E124" s="135" t="s">
        <v>144</v>
      </c>
      <c r="F124" s="46" t="str" cm="1">
        <f t="array" aca="1" ref="F124" ca="1">HYPERLINK(INDIRECT(C124),D124)</f>
        <v>インフラビジネス推進部</v>
      </c>
      <c r="G124" s="45"/>
    </row>
    <row r="125" spans="2:7" ht="19.95" customHeight="1" x14ac:dyDescent="0.45">
      <c r="D125" s="36"/>
      <c r="E125" s="106" t="s">
        <v>145</v>
      </c>
      <c r="F125" s="40"/>
      <c r="G125" s="39"/>
    </row>
    <row r="126" spans="2:7" ht="19.95" customHeight="1" x14ac:dyDescent="0.45">
      <c r="D126" s="36"/>
      <c r="E126" s="106" t="s">
        <v>146</v>
      </c>
      <c r="F126" s="40"/>
      <c r="G126" s="39"/>
    </row>
    <row r="127" spans="2:7" ht="19.95" customHeight="1" x14ac:dyDescent="0.45">
      <c r="D127" s="36"/>
      <c r="E127" s="106" t="s">
        <v>147</v>
      </c>
      <c r="F127" s="40"/>
      <c r="G127" s="39" t="s">
        <v>148</v>
      </c>
    </row>
    <row r="128" spans="2:7" ht="19.95" customHeight="1" x14ac:dyDescent="0.45">
      <c r="D128" s="41"/>
      <c r="E128" s="107" t="s">
        <v>149</v>
      </c>
      <c r="F128" s="42"/>
      <c r="G128" s="43"/>
    </row>
    <row r="129" spans="2:7" ht="19.95" customHeight="1" x14ac:dyDescent="0.45">
      <c r="B129" s="23">
        <f t="shared" ref="B129" si="15">B124+1</f>
        <v>25</v>
      </c>
      <c r="C129" s="24" t="str">
        <f>"ﾘｽﾄ!C"&amp;B129+2</f>
        <v>ﾘｽﾄ!C27</v>
      </c>
      <c r="D129" s="44" t="str">
        <f>IFERROR(VLOOKUP($B129,ﾘｽﾄ!A:B,2,FALSE),"")</f>
        <v>ビジネスプロデュース事業部</v>
      </c>
      <c r="E129" s="108"/>
      <c r="F129" s="46" t="str" cm="1">
        <f t="array" aca="1" ref="F129" ca="1">HYPERLINK(INDIRECT(C129),D129)</f>
        <v>ビジネスプロデュース事業部</v>
      </c>
      <c r="G129" s="45"/>
    </row>
    <row r="130" spans="2:7" ht="19.95" customHeight="1" x14ac:dyDescent="0.45">
      <c r="D130" s="36"/>
      <c r="E130" s="106"/>
      <c r="F130" s="40"/>
      <c r="G130" s="39"/>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41"/>
      <c r="E133" s="107"/>
      <c r="F133" s="42"/>
      <c r="G133" s="43"/>
    </row>
    <row r="134" spans="2:7" ht="19.95" customHeight="1" x14ac:dyDescent="0.45">
      <c r="B134" s="23">
        <f t="shared" ref="B134" si="16">B129+1</f>
        <v>26</v>
      </c>
      <c r="C134" s="24" t="str">
        <f>"ﾘｽﾄ!C"&amp;B134+2</f>
        <v>ﾘｽﾄ!C28</v>
      </c>
      <c r="D134" s="44" t="str">
        <f>IFERROR(VLOOKUP($B134,ﾘｽﾄ!A:B,2,FALSE),"")</f>
        <v>西日本支社</v>
      </c>
      <c r="E134" s="108" t="s">
        <v>150</v>
      </c>
      <c r="F134" s="46" t="str" cm="1">
        <f t="array" aca="1" ref="F134" ca="1">HYPERLINK(INDIRECT(C134),D134)</f>
        <v>西日本支社</v>
      </c>
      <c r="G134" s="45"/>
    </row>
    <row r="135" spans="2:7" ht="19.95" customHeight="1" x14ac:dyDescent="0.45">
      <c r="D135" s="36"/>
      <c r="E135" s="106" t="s">
        <v>151</v>
      </c>
      <c r="F135" s="40"/>
      <c r="G135" s="39"/>
    </row>
    <row r="136" spans="2:7" ht="19.95" customHeight="1" x14ac:dyDescent="0.45">
      <c r="D136" s="36"/>
      <c r="E136" s="106" t="s">
        <v>152</v>
      </c>
      <c r="F136" s="40"/>
      <c r="G136" s="39"/>
    </row>
    <row r="137" spans="2:7" ht="19.95" customHeight="1" x14ac:dyDescent="0.45">
      <c r="D137" s="36"/>
      <c r="E137" s="106" t="s">
        <v>153</v>
      </c>
      <c r="F137" s="40"/>
      <c r="G137" s="39"/>
    </row>
    <row r="138" spans="2:7" ht="19.95" customHeight="1" x14ac:dyDescent="0.45">
      <c r="D138" s="41"/>
      <c r="E138" s="107" t="s">
        <v>154</v>
      </c>
      <c r="F138" s="42"/>
      <c r="G138" s="43"/>
    </row>
    <row r="139" spans="2:7" ht="19.95" customHeight="1" x14ac:dyDescent="0.45">
      <c r="B139" s="23">
        <f t="shared" ref="B139" si="17">B134+1</f>
        <v>27</v>
      </c>
      <c r="C139" s="24" t="str">
        <f>"ﾘｽﾄ!C"&amp;B139+2</f>
        <v>ﾘｽﾄ!C29</v>
      </c>
      <c r="D139" s="44" t="str">
        <f>IFERROR(VLOOKUP($B139,ﾘｽﾄ!A:B,2,FALSE),"")</f>
        <v>福岡支社</v>
      </c>
      <c r="E139" s="108" t="s">
        <v>155</v>
      </c>
      <c r="F139" s="46" t="str" cm="1">
        <f t="array" aca="1" ref="F139" ca="1">HYPERLINK(INDIRECT(C139),D139)</f>
        <v>福岡支社</v>
      </c>
      <c r="G139" s="45"/>
    </row>
    <row r="140" spans="2:7" ht="19.95" customHeight="1" x14ac:dyDescent="0.45">
      <c r="D140" s="36"/>
      <c r="E140" s="149" t="s">
        <v>156</v>
      </c>
      <c r="F140" s="150"/>
      <c r="G140" s="39"/>
    </row>
    <row r="141" spans="2:7" ht="19.95" customHeight="1" x14ac:dyDescent="0.45">
      <c r="D141" s="36"/>
      <c r="E141" s="149" t="s">
        <v>157</v>
      </c>
      <c r="F141" s="150"/>
      <c r="G141" s="39"/>
    </row>
    <row r="142" spans="2:7" ht="19.95" customHeight="1" x14ac:dyDescent="0.45">
      <c r="D142" s="36"/>
      <c r="E142" s="149" t="s">
        <v>158</v>
      </c>
      <c r="F142" s="150"/>
      <c r="G142" s="39"/>
    </row>
    <row r="143" spans="2:7" ht="19.95" customHeight="1" x14ac:dyDescent="0.45">
      <c r="D143" s="41"/>
      <c r="E143" s="107" t="s">
        <v>159</v>
      </c>
      <c r="F143" s="42"/>
      <c r="G143" s="43"/>
    </row>
    <row r="144" spans="2:7" ht="19.95" customHeight="1" x14ac:dyDescent="0.45">
      <c r="B144" s="23">
        <f t="shared" ref="B144" si="18">B139+1</f>
        <v>28</v>
      </c>
      <c r="C144" s="24" t="str">
        <f>"ﾘｽﾄ!C"&amp;B144+2</f>
        <v>ﾘｽﾄ!C30</v>
      </c>
      <c r="D144" s="44" t="str">
        <f>IFERROR(VLOOKUP($B144,ﾘｽﾄ!A:B,2,FALSE),"")</f>
        <v>公共ソリューション部</v>
      </c>
      <c r="E144" s="108" t="s">
        <v>160</v>
      </c>
      <c r="F144" s="46" t="str" cm="1">
        <f t="array" aca="1" ref="F144" ca="1">HYPERLINK(INDIRECT(C144),D144)</f>
        <v>公共ソリューション部</v>
      </c>
      <c r="G144" s="45"/>
    </row>
    <row r="145" spans="2:7" ht="19.95" customHeight="1" x14ac:dyDescent="0.45">
      <c r="D145" s="36"/>
      <c r="E145" s="106" t="s">
        <v>161</v>
      </c>
      <c r="F145" s="40"/>
      <c r="G145" s="39"/>
    </row>
    <row r="146" spans="2:7" ht="19.95" customHeight="1" x14ac:dyDescent="0.45">
      <c r="D146" s="36"/>
      <c r="E146" s="106" t="s">
        <v>162</v>
      </c>
      <c r="F146" s="40"/>
      <c r="G146" s="39"/>
    </row>
    <row r="147" spans="2:7" ht="19.95" customHeight="1" x14ac:dyDescent="0.45">
      <c r="D147" s="36"/>
      <c r="E147" s="106" t="s">
        <v>163</v>
      </c>
      <c r="F147" s="40"/>
      <c r="G147" s="39"/>
    </row>
    <row r="148" spans="2:7" ht="19.95" customHeight="1" x14ac:dyDescent="0.45">
      <c r="D148" s="41"/>
      <c r="E148" s="107" t="s">
        <v>164</v>
      </c>
      <c r="F148" s="42"/>
      <c r="G148" s="43"/>
    </row>
    <row r="149" spans="2:7" ht="19.95" customHeight="1" x14ac:dyDescent="0.45">
      <c r="B149" s="23">
        <f t="shared" ref="B149" si="19">B144+1</f>
        <v>29</v>
      </c>
      <c r="C149" s="24" t="str">
        <f t="shared" ref="C149" si="20">"ﾘｽﾄ!C"&amp;B149+2</f>
        <v>ﾘｽﾄ!C31</v>
      </c>
      <c r="D149" s="44" t="str">
        <f>IFERROR(VLOOKUP($B149,ﾘｽﾄ!A:B,2,FALSE),"")</f>
        <v>ソリューション開発部</v>
      </c>
      <c r="E149" s="138" t="s">
        <v>165</v>
      </c>
      <c r="F149" s="46" t="str" cm="1">
        <f t="array" aca="1" ref="F149" ca="1">HYPERLINK(INDIRECT(C149),D149)</f>
        <v>ソリューション開発部</v>
      </c>
      <c r="G149" s="45"/>
    </row>
    <row r="150" spans="2:7" ht="19.95" customHeight="1" x14ac:dyDescent="0.45">
      <c r="D150" s="36"/>
      <c r="E150" s="139" t="s">
        <v>166</v>
      </c>
      <c r="F150" s="40"/>
      <c r="G150" s="39"/>
    </row>
    <row r="151" spans="2:7" ht="19.95" customHeight="1" x14ac:dyDescent="0.45">
      <c r="D151" s="36"/>
      <c r="E151" s="139" t="s">
        <v>167</v>
      </c>
      <c r="F151" s="40"/>
      <c r="G151" s="39"/>
    </row>
    <row r="152" spans="2:7" ht="19.95" customHeight="1" x14ac:dyDescent="0.45">
      <c r="D152" s="36"/>
      <c r="E152" s="139" t="s">
        <v>168</v>
      </c>
      <c r="F152" s="40"/>
      <c r="G152" s="39"/>
    </row>
    <row r="153" spans="2:7" ht="19.95" customHeight="1" x14ac:dyDescent="0.45">
      <c r="D153" s="36"/>
      <c r="E153" s="140" t="s">
        <v>169</v>
      </c>
      <c r="F153" s="40"/>
      <c r="G153" s="39"/>
    </row>
    <row r="154" spans="2:7" ht="19.95" customHeight="1" x14ac:dyDescent="0.45">
      <c r="D154" s="41"/>
      <c r="E154" s="141" t="s">
        <v>170</v>
      </c>
      <c r="F154" s="42"/>
      <c r="G154" s="43"/>
    </row>
    <row r="155" spans="2:7" ht="19.95" customHeight="1" x14ac:dyDescent="0.45">
      <c r="B155" s="23">
        <f t="shared" ref="B155" si="21">B149+1</f>
        <v>30</v>
      </c>
      <c r="C155" s="24" t="str">
        <f t="shared" ref="C155" si="22">"ﾘｽﾄ!C"&amp;B155+2</f>
        <v>ﾘｽﾄ!C32</v>
      </c>
      <c r="D155" s="44" t="str">
        <f>IFERROR(VLOOKUP($B155,ﾘｽﾄ!A:B,2,FALSE),"")</f>
        <v>公共ソリューション開発センター</v>
      </c>
      <c r="E155" s="108" t="s">
        <v>171</v>
      </c>
      <c r="F155" s="46" t="str" cm="1">
        <f t="array" aca="1" ref="F155" ca="1">HYPERLINK(INDIRECT(C155),D155)</f>
        <v>公共ソリューション開発センター</v>
      </c>
      <c r="G155" s="45"/>
    </row>
    <row r="156" spans="2:7" ht="19.95" customHeight="1" x14ac:dyDescent="0.45">
      <c r="D156" s="36"/>
      <c r="E156" s="106" t="s">
        <v>172</v>
      </c>
      <c r="F156" s="40"/>
      <c r="G156" s="39"/>
    </row>
    <row r="157" spans="2:7" ht="19.95" customHeight="1" x14ac:dyDescent="0.45">
      <c r="D157" s="36"/>
      <c r="E157" s="106" t="s">
        <v>173</v>
      </c>
      <c r="F157" s="40"/>
      <c r="G157" s="39"/>
    </row>
    <row r="158" spans="2:7" ht="19.95" customHeight="1" x14ac:dyDescent="0.45">
      <c r="D158" s="36"/>
      <c r="E158" s="106" t="s">
        <v>174</v>
      </c>
      <c r="F158" s="40"/>
      <c r="G158" s="39"/>
    </row>
    <row r="159" spans="2:7" ht="19.95" customHeight="1" x14ac:dyDescent="0.45">
      <c r="D159" s="41"/>
      <c r="E159" s="107" t="s">
        <v>175</v>
      </c>
      <c r="F159" s="42"/>
      <c r="G159" s="43"/>
    </row>
    <row r="160" spans="2:7" ht="19.95" customHeight="1" x14ac:dyDescent="0.45">
      <c r="B160" s="23">
        <f t="shared" ref="B160" si="23">B155+1</f>
        <v>31</v>
      </c>
      <c r="C160" s="24" t="str">
        <f t="shared" ref="C160" si="24">"ﾘｽﾄ!C"&amp;B160+2</f>
        <v>ﾘｽﾄ!C33</v>
      </c>
      <c r="D160" s="44" t="str">
        <f>IFERROR(VLOOKUP($B160,ﾘｽﾄ!A:B,2,FALSE),"")</f>
        <v>システムプロデュース事業部</v>
      </c>
      <c r="E160" s="108" t="s">
        <v>176</v>
      </c>
      <c r="F160" s="136" t="str" cm="1">
        <f t="array" aca="1" ref="F160" ca="1">HYPERLINK(INDIRECT(C160),D160)</f>
        <v>システムプロデュース事業部</v>
      </c>
      <c r="G160" s="45"/>
    </row>
    <row r="161" spans="2:7" ht="19.95" customHeight="1" x14ac:dyDescent="0.45">
      <c r="D161" s="36"/>
      <c r="E161" s="106"/>
      <c r="F161" s="40"/>
      <c r="G161" s="39"/>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41"/>
      <c r="E164" s="107"/>
      <c r="F164" s="42"/>
      <c r="G164" s="43"/>
    </row>
    <row r="165" spans="2:7" ht="19.95" customHeight="1" x14ac:dyDescent="0.45">
      <c r="B165" s="23">
        <f t="shared" ref="B165" si="25">B160+1</f>
        <v>32</v>
      </c>
      <c r="C165" s="24" t="str">
        <f t="shared" ref="C165" si="26">"ﾘｽﾄ!C"&amp;B165+2</f>
        <v>ﾘｽﾄ!C34</v>
      </c>
      <c r="D165" s="44" t="str">
        <f>IFERROR(VLOOKUP($B165,ﾘｽﾄ!A:B,2,FALSE),"")</f>
        <v>デジタルイノベーション推進部</v>
      </c>
      <c r="E165" s="108" t="s">
        <v>177</v>
      </c>
      <c r="F165" s="46" t="str" cm="1">
        <f t="array" aca="1" ref="F165" ca="1">HYPERLINK(INDIRECT(C165),D165)</f>
        <v>デジタルイノベーション推進部</v>
      </c>
      <c r="G165" s="45"/>
    </row>
    <row r="166" spans="2:7" ht="19.95" customHeight="1" x14ac:dyDescent="0.45">
      <c r="D166" s="36"/>
      <c r="E166" s="106" t="s">
        <v>178</v>
      </c>
      <c r="F166" s="40"/>
      <c r="G166" s="39"/>
    </row>
    <row r="167" spans="2:7" ht="19.95" customHeight="1" x14ac:dyDescent="0.45">
      <c r="D167" s="36"/>
      <c r="E167" s="106" t="s">
        <v>179</v>
      </c>
      <c r="F167" s="40"/>
      <c r="G167" s="39"/>
    </row>
    <row r="168" spans="2:7" ht="19.95" customHeight="1" x14ac:dyDescent="0.45">
      <c r="D168" s="36"/>
      <c r="E168" s="106" t="s">
        <v>180</v>
      </c>
      <c r="F168" s="40"/>
      <c r="G168" s="39"/>
    </row>
    <row r="169" spans="2:7" ht="19.95" customHeight="1" x14ac:dyDescent="0.45">
      <c r="D169" s="41"/>
      <c r="E169" s="107" t="s">
        <v>181</v>
      </c>
      <c r="F169" s="42"/>
      <c r="G169" s="43"/>
    </row>
    <row r="170" spans="2:7" ht="19.95" customHeight="1" x14ac:dyDescent="0.45">
      <c r="B170" s="23">
        <f t="shared" ref="B170" si="27">B165+1</f>
        <v>33</v>
      </c>
      <c r="C170" s="24" t="str">
        <f t="shared" ref="C170" si="28">"ﾘｽﾄ!C"&amp;B170+2</f>
        <v>ﾘｽﾄ!C35</v>
      </c>
      <c r="D170" s="44" t="str">
        <f>IFERROR(VLOOKUP($B170,ﾘｽﾄ!A:B,2,FALSE),"")</f>
        <v>施設予約サービス部</v>
      </c>
      <c r="E170" s="135" t="s">
        <v>182</v>
      </c>
      <c r="F170" s="46" t="str" cm="1">
        <f t="array" aca="1" ref="F170" ca="1">HYPERLINK(INDIRECT(C170),D170)</f>
        <v>施設予約サービス部</v>
      </c>
      <c r="G170" s="45"/>
    </row>
    <row r="171" spans="2:7" ht="19.95" customHeight="1" x14ac:dyDescent="0.45">
      <c r="D171" s="36"/>
      <c r="E171" s="106" t="s">
        <v>183</v>
      </c>
      <c r="F171" s="40"/>
      <c r="G171" s="39"/>
    </row>
    <row r="172" spans="2:7" ht="19.95" customHeight="1" x14ac:dyDescent="0.45">
      <c r="D172" s="36"/>
      <c r="E172" s="106" t="s">
        <v>184</v>
      </c>
      <c r="F172" s="40"/>
      <c r="G172" s="39"/>
    </row>
    <row r="173" spans="2:7" ht="19.95" customHeight="1" x14ac:dyDescent="0.45">
      <c r="D173" s="36"/>
      <c r="E173" s="106" t="s">
        <v>185</v>
      </c>
      <c r="F173" s="40"/>
      <c r="G173" s="39"/>
    </row>
    <row r="174" spans="2:7" ht="19.95" customHeight="1" x14ac:dyDescent="0.45">
      <c r="D174" s="41"/>
      <c r="E174" s="107" t="s">
        <v>186</v>
      </c>
      <c r="F174" s="42"/>
      <c r="G174" s="43"/>
    </row>
    <row r="175" spans="2:7" ht="19.95" customHeight="1" x14ac:dyDescent="0.45">
      <c r="B175" s="23">
        <f t="shared" ref="B175" si="29">B170+1</f>
        <v>34</v>
      </c>
      <c r="C175" s="24" t="str">
        <f t="shared" ref="C175" si="30">"ﾘｽﾄ!C"&amp;B175+2</f>
        <v>ﾘｽﾄ!C36</v>
      </c>
      <c r="D175" s="44" t="str">
        <f>IFERROR(VLOOKUP($B175,ﾘｽﾄ!A:B,2,FALSE),"")</f>
        <v>ソリューションサービス部</v>
      </c>
      <c r="E175" s="135" t="s">
        <v>187</v>
      </c>
      <c r="F175" s="46" t="str" cm="1">
        <f t="array" aca="1" ref="F175" ca="1">HYPERLINK(INDIRECT(C175),D175)</f>
        <v>ソリューションサービス部</v>
      </c>
      <c r="G175" s="45" t="s">
        <v>188</v>
      </c>
    </row>
    <row r="176" spans="2:7" ht="19.95" customHeight="1" x14ac:dyDescent="0.45">
      <c r="D176" s="36"/>
      <c r="E176" s="106" t="s">
        <v>189</v>
      </c>
      <c r="F176" s="40"/>
      <c r="G176" s="39"/>
    </row>
    <row r="177" spans="2:7" ht="19.95" customHeight="1" x14ac:dyDescent="0.45">
      <c r="D177" s="36"/>
      <c r="E177" s="106" t="s">
        <v>190</v>
      </c>
      <c r="F177" s="40"/>
      <c r="G177" s="39"/>
    </row>
    <row r="178" spans="2:7" ht="19.95" customHeight="1" x14ac:dyDescent="0.45">
      <c r="D178" s="36"/>
      <c r="E178" s="106" t="s">
        <v>191</v>
      </c>
      <c r="F178" s="40"/>
      <c r="G178" s="39"/>
    </row>
    <row r="179" spans="2:7" ht="19.95" customHeight="1" x14ac:dyDescent="0.45">
      <c r="D179" s="41"/>
      <c r="E179" s="107" t="s">
        <v>192</v>
      </c>
      <c r="F179" s="42"/>
      <c r="G179" s="43"/>
    </row>
    <row r="180" spans="2:7" ht="19.95" customHeight="1" x14ac:dyDescent="0.45">
      <c r="B180" s="23">
        <f t="shared" ref="B180" si="31">B175+1</f>
        <v>35</v>
      </c>
      <c r="C180" s="24" t="str">
        <f t="shared" ref="C180" si="32">"ﾘｽﾄ!C"&amp;B180+2</f>
        <v>ﾘｽﾄ!C37</v>
      </c>
      <c r="D180" s="44" t="str">
        <f>IFERROR(VLOOKUP($B180,ﾘｽﾄ!A:B,2,FALSE),"")</f>
        <v>ソリューション事業部</v>
      </c>
      <c r="E180" s="108"/>
      <c r="F180" s="46" t="str" cm="1">
        <f t="array" aca="1" ref="F180" ca="1">HYPERLINK(INDIRECT(C180),D180)</f>
        <v>ソリューション事業部</v>
      </c>
      <c r="G180" s="45"/>
    </row>
    <row r="181" spans="2:7" ht="19.95" customHeight="1" x14ac:dyDescent="0.45">
      <c r="D181" s="36"/>
      <c r="E181" s="106"/>
      <c r="F181" s="40"/>
      <c r="G181" s="39"/>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41"/>
      <c r="E184" s="107"/>
      <c r="F184" s="42"/>
      <c r="G184" s="43"/>
    </row>
    <row r="185" spans="2:7" ht="19.95" customHeight="1" x14ac:dyDescent="0.45">
      <c r="B185" s="23">
        <f t="shared" ref="B185" si="33">B180+1</f>
        <v>36</v>
      </c>
      <c r="C185" s="24" t="str">
        <f t="shared" ref="C185" si="34">"ﾘｽﾄ!C"&amp;B185+2</f>
        <v>ﾘｽﾄ!C38</v>
      </c>
      <c r="D185" s="44" t="str">
        <f>IFERROR(VLOOKUP($B185,ﾘｽﾄ!A:B,2,FALSE),"")</f>
        <v>東京本社マネジメント推進部</v>
      </c>
      <c r="E185" s="154" t="s">
        <v>193</v>
      </c>
      <c r="F185" s="46" t="str" cm="1">
        <f t="array" aca="1" ref="F185" ca="1">HYPERLINK(INDIRECT(C185),D185)</f>
        <v>東京本社マネジメント推進部</v>
      </c>
      <c r="G185" s="45"/>
    </row>
    <row r="186" spans="2:7" ht="19.95" customHeight="1" x14ac:dyDescent="0.45">
      <c r="D186" s="36"/>
      <c r="E186" s="106" t="s">
        <v>194</v>
      </c>
      <c r="F186" s="40"/>
      <c r="G186" s="39"/>
    </row>
    <row r="187" spans="2:7" ht="19.95" customHeight="1" x14ac:dyDescent="0.45">
      <c r="D187" s="36"/>
      <c r="E187" s="106" t="s">
        <v>195</v>
      </c>
      <c r="F187" s="40"/>
      <c r="G187" s="39"/>
    </row>
    <row r="188" spans="2:7" ht="19.95" customHeight="1" x14ac:dyDescent="0.45">
      <c r="D188" s="36"/>
      <c r="E188" s="106" t="s">
        <v>196</v>
      </c>
      <c r="F188" s="40"/>
      <c r="G188" s="39"/>
    </row>
    <row r="189" spans="2:7" ht="19.95" customHeight="1" x14ac:dyDescent="0.45">
      <c r="D189" s="41"/>
      <c r="E189" s="154" t="s">
        <v>197</v>
      </c>
      <c r="F189" s="42"/>
      <c r="G189" s="43"/>
    </row>
    <row r="190" spans="2:7" ht="19.95" customHeight="1" x14ac:dyDescent="0.45">
      <c r="B190" s="23">
        <f t="shared" ref="B190" si="35">B185+1</f>
        <v>37</v>
      </c>
      <c r="C190" s="24" t="str">
        <f t="shared" ref="C190" si="36">"ﾘｽﾄ!C"&amp;B190+2</f>
        <v>ﾘｽﾄ!C39</v>
      </c>
      <c r="D190" s="44" t="str">
        <f>IFERROR(VLOOKUP($B190,ﾘｽﾄ!A:B,2,FALSE),"")</f>
        <v>佐藤執行役員</v>
      </c>
      <c r="E190" s="108"/>
      <c r="F190" s="46" t="str" cm="1">
        <f t="array" aca="1" ref="F190" ca="1">HYPERLINK(INDIRECT(C190),D190)</f>
        <v>佐藤執行役員</v>
      </c>
      <c r="G190" s="45"/>
    </row>
    <row r="191" spans="2:7" ht="19.95" customHeight="1" x14ac:dyDescent="0.45">
      <c r="D191" s="36"/>
      <c r="E191" s="106"/>
      <c r="F191" s="40"/>
      <c r="G191" s="39"/>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47"/>
      <c r="E194" s="107"/>
      <c r="F194" s="42"/>
      <c r="G194" s="43"/>
    </row>
    <row r="195" spans="2:7" ht="19.95" customHeight="1" x14ac:dyDescent="0.45">
      <c r="B195" s="23">
        <f t="shared" ref="B195" si="37">B190+1</f>
        <v>38</v>
      </c>
      <c r="C195" s="24" t="str">
        <f t="shared" ref="C195" si="38">"ﾘｽﾄ!C"&amp;B195+2</f>
        <v>ﾘｽﾄ!C40</v>
      </c>
      <c r="D195" s="44" t="str">
        <f>IFERROR(VLOOKUP($B195,ﾘｽﾄ!A:B,2,FALSE),"")</f>
        <v>中島常務執行役員</v>
      </c>
      <c r="E195" s="108" t="s">
        <v>198</v>
      </c>
      <c r="F195" s="46" t="str" cm="1">
        <f t="array" aca="1" ref="F195" ca="1">HYPERLINK(INDIRECT(C195),D195)</f>
        <v>中島常務執行役員</v>
      </c>
      <c r="G195" s="45"/>
    </row>
    <row r="196" spans="2:7" ht="19.95" customHeight="1" x14ac:dyDescent="0.45">
      <c r="D196" s="36"/>
      <c r="E196" s="106" t="s">
        <v>199</v>
      </c>
      <c r="F196" s="40"/>
      <c r="G196" s="39"/>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47"/>
      <c r="E199" s="107"/>
      <c r="F199" s="42"/>
      <c r="G199" s="43"/>
    </row>
    <row r="200" spans="2:7" ht="19.95" customHeight="1" x14ac:dyDescent="0.45">
      <c r="B200" s="23">
        <f t="shared" ref="B200" si="39">B195+1</f>
        <v>39</v>
      </c>
      <c r="C200" s="24" t="str">
        <f t="shared" ref="C200" si="40">"ﾘｽﾄ!C"&amp;B200+2</f>
        <v>ﾘｽﾄ!C41</v>
      </c>
      <c r="D200" s="44" t="str">
        <f>IFERROR(VLOOKUP($B200,ﾘｽﾄ!A:B,2,FALSE),"")</f>
        <v>河野取締役</v>
      </c>
      <c r="E200" s="108" t="s">
        <v>200</v>
      </c>
      <c r="F200" s="46" t="str" cm="1">
        <f t="array" aca="1" ref="F200" ca="1">HYPERLINK(INDIRECT(C200),D200)</f>
        <v>河野取締役</v>
      </c>
      <c r="G200" s="45"/>
    </row>
    <row r="201" spans="2:7" ht="19.95" customHeight="1" x14ac:dyDescent="0.45">
      <c r="D201" s="36"/>
      <c r="E201" s="106" t="s">
        <v>201</v>
      </c>
      <c r="F201" s="40"/>
      <c r="G201" s="39"/>
    </row>
    <row r="202" spans="2:7" ht="19.95" customHeight="1" x14ac:dyDescent="0.45">
      <c r="D202" s="36"/>
      <c r="E202" s="106" t="s">
        <v>202</v>
      </c>
      <c r="F202" s="40"/>
      <c r="G202" s="39"/>
    </row>
    <row r="203" spans="2:7" ht="19.95" customHeight="1" x14ac:dyDescent="0.45">
      <c r="D203" s="36"/>
      <c r="E203" s="106" t="s">
        <v>203</v>
      </c>
      <c r="F203" s="40"/>
      <c r="G203" s="39"/>
    </row>
    <row r="204" spans="2:7" ht="19.95" customHeight="1" x14ac:dyDescent="0.45">
      <c r="D204" s="47"/>
      <c r="E204" s="107"/>
      <c r="F204" s="42"/>
      <c r="G204" s="43"/>
    </row>
    <row r="205" spans="2:7" ht="19.95" customHeight="1" x14ac:dyDescent="0.45">
      <c r="B205" s="23">
        <f t="shared" ref="B205" si="41">B200+1</f>
        <v>40</v>
      </c>
      <c r="C205" s="24" t="str">
        <f t="shared" ref="C205" si="42">"ﾘｽﾄ!C"&amp;B205+2</f>
        <v>ﾘｽﾄ!C42</v>
      </c>
      <c r="D205" s="44" t="str">
        <f>IFERROR(VLOOKUP($B205,ﾘｽﾄ!A:B,2,FALSE),"")</f>
        <v>安東常務</v>
      </c>
      <c r="E205" s="108"/>
      <c r="F205" s="46" t="str" cm="1">
        <f t="array" aca="1" ref="F205" ca="1">HYPERLINK(INDIRECT(C205),D205)</f>
        <v>安東常務</v>
      </c>
      <c r="G205" s="45"/>
    </row>
    <row r="206" spans="2:7" ht="19.95" customHeight="1" x14ac:dyDescent="0.45">
      <c r="D206" s="36"/>
      <c r="E206" s="106"/>
      <c r="F206" s="40"/>
      <c r="G206" s="39"/>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47"/>
      <c r="E209" s="107"/>
      <c r="F209" s="42"/>
      <c r="G209" s="43"/>
    </row>
    <row r="210" spans="2:7" ht="19.95" customHeight="1" x14ac:dyDescent="0.45">
      <c r="B210" s="23">
        <f t="shared" ref="B210" si="43">B205+1</f>
        <v>41</v>
      </c>
      <c r="C210" s="24" t="str">
        <f t="shared" ref="C210" si="44">"ﾘｽﾄ!C"&amp;B210+2</f>
        <v>ﾘｽﾄ!C43</v>
      </c>
      <c r="D210" s="44" t="str">
        <f>IFERROR(VLOOKUP($B210,ﾘｽﾄ!A:B,2,FALSE),"")</f>
        <v>岡田常務</v>
      </c>
      <c r="E210" s="108"/>
      <c r="F210" s="46" t="str" cm="1">
        <f t="array" aca="1" ref="F210" ca="1">HYPERLINK(INDIRECT(C210),D210)</f>
        <v>岡田常務</v>
      </c>
      <c r="G210" s="45"/>
    </row>
    <row r="211" spans="2:7" ht="19.95" customHeight="1" x14ac:dyDescent="0.45">
      <c r="D211" s="36"/>
      <c r="E211" s="106"/>
      <c r="F211" s="40"/>
      <c r="G211" s="39"/>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47"/>
      <c r="E214" s="107"/>
      <c r="F214" s="42"/>
      <c r="G214" s="43"/>
    </row>
    <row r="215" spans="2:7" ht="19.95" customHeight="1" x14ac:dyDescent="0.45">
      <c r="B215" s="23">
        <f t="shared" ref="B215" si="45">B210+1</f>
        <v>42</v>
      </c>
      <c r="C215" s="24" t="str">
        <f t="shared" ref="C215" si="46">"ﾘｽﾄ!C"&amp;B215+2</f>
        <v>ﾘｽﾄ!C44</v>
      </c>
      <c r="D215" s="44" t="str">
        <f>IFERROR(VLOOKUP($B215,ﾘｽﾄ!A:B,2,FALSE),"")</f>
        <v>加藤社長</v>
      </c>
      <c r="E215" s="108" t="s">
        <v>204</v>
      </c>
      <c r="F215" s="46" t="str" cm="1">
        <f t="array" aca="1" ref="F215" ca="1">HYPERLINK(INDIRECT(C215),D215)</f>
        <v>加藤社長</v>
      </c>
      <c r="G215" s="45"/>
    </row>
    <row r="216" spans="2:7" ht="19.95" customHeight="1" x14ac:dyDescent="0.45">
      <c r="D216" s="36"/>
      <c r="E216" s="106" t="s">
        <v>205</v>
      </c>
      <c r="F216" s="40"/>
      <c r="G216" s="39"/>
    </row>
    <row r="217" spans="2:7" ht="19.95" customHeight="1" x14ac:dyDescent="0.45">
      <c r="D217" s="36"/>
      <c r="E217" s="106" t="s">
        <v>206</v>
      </c>
      <c r="F217" s="40"/>
      <c r="G217" s="39"/>
    </row>
    <row r="218" spans="2:7" ht="19.95" customHeight="1" x14ac:dyDescent="0.45">
      <c r="D218" s="36"/>
      <c r="E218" s="106" t="s">
        <v>207</v>
      </c>
      <c r="F218" s="40"/>
      <c r="G218" s="39"/>
    </row>
    <row r="219" spans="2:7" ht="19.95" customHeight="1" thickBot="1" x14ac:dyDescent="0.5">
      <c r="D219" s="48"/>
      <c r="E219" s="161" t="s">
        <v>208</v>
      </c>
      <c r="F219" s="49"/>
      <c r="G219" s="50"/>
    </row>
    <row r="220" spans="2:7" x14ac:dyDescent="0.45">
      <c r="D220" s="111"/>
      <c r="E220" s="112"/>
      <c r="F220" s="113"/>
      <c r="G220" s="112"/>
    </row>
  </sheetData>
  <sheetProtection algorithmName="SHA-512" hashValue="AESaT6jHkcGFZcNGZ2CZNalxY1bc+lDmGZCSD3YrvdLGGO4uQJBng7VBn+cOhRiCT1N9V3ECSYaMPHzhXpA0Sw==" saltValue="ThXLPonI3TVzCSBiYOEKuA==" spinCount="100000" sheet="1" objects="1" scenarios="1"/>
  <phoneticPr fontId="1"/>
  <hyperlinks>
    <hyperlink ref="F1" location="ﾘｽﾄ!A1" display="格納先一覧はこちら" xr:uid="{FDD5C268-CFEF-4941-8A62-79D27D6E169E}"/>
    <hyperlink ref="G25" r:id="rId1" xr:uid="{C5A45198-9352-4967-BDEC-24772250F48B}"/>
    <hyperlink ref="G20" r:id="rId2" xr:uid="{E810BBA4-BDA9-4BA1-A9AC-30338BC4B879}"/>
    <hyperlink ref="G21" r:id="rId3" xr:uid="{C82A5304-94FF-4535-A8F7-922F7D667697}"/>
    <hyperlink ref="G22" r:id="rId4" xr:uid="{0C767AB4-53C3-4E8A-91E3-7EA9234F41DE}"/>
  </hyperlinks>
  <printOptions horizontalCentered="1"/>
  <pageMargins left="0" right="0" top="0" bottom="0" header="0.31496062992125984" footer="0.31496062992125984"/>
  <pageSetup paperSize="8" scale="72" fitToHeight="3" orientation="portrait" horizontalDpi="1200" verticalDpi="1200" r:id="rId5"/>
  <rowBreaks count="2" manualBreakCount="2">
    <brk id="82" min="3" max="6" man="1"/>
    <brk id="148" min="3" max="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A5BF2-2FFC-4C36-B5E5-52C2404FA51C}">
  <sheetPr codeName="Sheet4">
    <tabColor rgb="FFFFFF00"/>
  </sheetPr>
  <dimension ref="A1:G221"/>
  <sheetViews>
    <sheetView showGridLines="0" zoomScale="80" zoomScaleNormal="80" workbookViewId="0">
      <pane ySplit="4" topLeftCell="A107" activePane="bottomLeft" state="frozen"/>
      <selection activeCell="D1" sqref="D1"/>
      <selection pane="bottomLeft" activeCell="E111" sqref="E111"/>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v>
      </c>
      <c r="E1" s="30" t="s">
        <v>7</v>
      </c>
      <c r="F1" s="51" t="s">
        <v>8</v>
      </c>
      <c r="G1" s="52" t="s">
        <v>9</v>
      </c>
    </row>
    <row r="2" spans="1:7" x14ac:dyDescent="0.45">
      <c r="A2" s="26" cm="1">
        <f t="array" aca="1" ref="A2" ca="1">VALUE(MID(CELL("filename",A2),FIND("]",CELL("filename",A2))+1,99))</f>
        <v>2</v>
      </c>
      <c r="B2" s="27"/>
      <c r="C2" s="28"/>
      <c r="D2" s="95" t="s">
        <v>10</v>
      </c>
      <c r="G2" s="101" t="s">
        <v>11</v>
      </c>
    </row>
    <row r="3" spans="1:7" ht="24.6" customHeight="1" thickBot="1" x14ac:dyDescent="0.5">
      <c r="A3" s="26"/>
      <c r="D3" s="93">
        <f>IFERROR(VLOOKUP($A$1,目次!$C$5:$I$100,5,FALSE),"")</f>
        <v>45394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209</v>
      </c>
      <c r="F5" s="37" t="str" cm="1">
        <f t="array" aca="1" ref="F5" ca="1">HYPERLINK(INDIRECT(C5),D5)</f>
        <v>総務部</v>
      </c>
      <c r="G5" s="38"/>
    </row>
    <row r="6" spans="1:7" ht="19.95" customHeight="1" x14ac:dyDescent="0.45">
      <c r="D6" s="175"/>
      <c r="E6" s="177" t="s">
        <v>22</v>
      </c>
      <c r="F6" s="176"/>
      <c r="G6" s="39"/>
    </row>
    <row r="7" spans="1:7" ht="19.95" customHeight="1" x14ac:dyDescent="0.45">
      <c r="D7" s="36"/>
      <c r="E7" s="106" t="s">
        <v>210</v>
      </c>
      <c r="F7" s="40"/>
      <c r="G7" s="39"/>
    </row>
    <row r="8" spans="1:7" ht="19.95" customHeight="1" x14ac:dyDescent="0.45">
      <c r="D8" s="36"/>
      <c r="E8" s="106" t="s">
        <v>211</v>
      </c>
      <c r="F8" s="40"/>
      <c r="G8" s="39"/>
    </row>
    <row r="9" spans="1:7" ht="19.95" customHeight="1" x14ac:dyDescent="0.45">
      <c r="D9" s="41"/>
      <c r="E9" s="107" t="s">
        <v>212</v>
      </c>
      <c r="F9" s="42"/>
      <c r="G9" s="43"/>
    </row>
    <row r="10" spans="1:7" ht="19.95" customHeight="1" x14ac:dyDescent="0.45">
      <c r="B10" s="23">
        <f>B5+1</f>
        <v>2</v>
      </c>
      <c r="C10" s="24" t="str">
        <f>"ﾘｽﾄ!C"&amp;B10+2</f>
        <v>ﾘｽﾄ!C4</v>
      </c>
      <c r="D10" s="44" t="str">
        <f>IFERROR(VLOOKUP($B10,ﾘｽﾄ!A:B,2,FALSE),"")</f>
        <v>人事部</v>
      </c>
      <c r="E10" s="178" t="s">
        <v>213</v>
      </c>
      <c r="F10" s="37" t="str" cm="1">
        <f t="array" aca="1" ref="F10" ca="1">HYPERLINK(INDIRECT(C10),D10)</f>
        <v>人事部</v>
      </c>
      <c r="G10" s="45"/>
    </row>
    <row r="11" spans="1:7" ht="19.95" customHeight="1" x14ac:dyDescent="0.45">
      <c r="D11" s="36"/>
      <c r="E11" s="179" t="s">
        <v>214</v>
      </c>
      <c r="F11" s="37"/>
      <c r="G11" s="39"/>
    </row>
    <row r="12" spans="1:7" ht="19.95" customHeight="1" x14ac:dyDescent="0.45">
      <c r="D12" s="36"/>
      <c r="E12" s="179" t="s">
        <v>215</v>
      </c>
      <c r="F12" s="37"/>
      <c r="G12" s="39"/>
    </row>
    <row r="13" spans="1:7" ht="19.95" customHeight="1" x14ac:dyDescent="0.45">
      <c r="D13" s="36"/>
      <c r="E13" s="179" t="s">
        <v>216</v>
      </c>
      <c r="F13" s="40"/>
      <c r="G13" s="39"/>
    </row>
    <row r="14" spans="1:7" ht="19.95" customHeight="1" x14ac:dyDescent="0.45">
      <c r="D14" s="41"/>
      <c r="E14" s="180" t="s">
        <v>217</v>
      </c>
      <c r="F14" s="42"/>
      <c r="G14" s="43"/>
    </row>
    <row r="15" spans="1:7" ht="19.95" customHeight="1" x14ac:dyDescent="0.45">
      <c r="B15" s="23">
        <f>B10+1</f>
        <v>3</v>
      </c>
      <c r="C15" s="24" t="str">
        <f>"ﾘｽﾄ!C"&amp;B15+2</f>
        <v>ﾘｽﾄ!C5</v>
      </c>
      <c r="D15" s="44" t="str">
        <f>IFERROR(VLOOKUP($B15,ﾘｽﾄ!A:B,2,FALSE),"")</f>
        <v>総務・人事統括部</v>
      </c>
      <c r="E15" s="108" t="s">
        <v>218</v>
      </c>
      <c r="F15" s="37" t="str" cm="1">
        <f t="array" aca="1" ref="F15" ca="1">HYPERLINK(INDIRECT(C15),D15)</f>
        <v>総務・人事統括部</v>
      </c>
      <c r="G15" s="45"/>
    </row>
    <row r="16" spans="1:7" ht="19.95" customHeight="1" x14ac:dyDescent="0.45">
      <c r="D16" s="36"/>
      <c r="E16" s="106" t="s">
        <v>219</v>
      </c>
      <c r="F16" s="37"/>
      <c r="G16" s="39"/>
    </row>
    <row r="17" spans="2:7" ht="19.95" customHeight="1" x14ac:dyDescent="0.45">
      <c r="D17" s="36"/>
      <c r="E17" s="106" t="s">
        <v>220</v>
      </c>
      <c r="F17" s="40"/>
      <c r="G17" s="39"/>
    </row>
    <row r="18" spans="2:7" ht="19.95" customHeight="1" x14ac:dyDescent="0.45">
      <c r="D18" s="36"/>
      <c r="E18" s="106" t="s">
        <v>221</v>
      </c>
      <c r="F18" s="40"/>
      <c r="G18" s="39"/>
    </row>
    <row r="19" spans="2:7" ht="19.95" customHeight="1" x14ac:dyDescent="0.45">
      <c r="D19" s="41"/>
      <c r="E19" s="154" t="s">
        <v>222</v>
      </c>
      <c r="F19" s="42"/>
      <c r="G19" s="43"/>
    </row>
    <row r="20" spans="2:7" ht="19.95" customHeight="1" x14ac:dyDescent="0.45">
      <c r="B20" s="23">
        <f>B15+1</f>
        <v>4</v>
      </c>
      <c r="C20" s="24" t="str">
        <f>"ﾘｽﾄ!C"&amp;B20+2</f>
        <v>ﾘｽﾄ!C6</v>
      </c>
      <c r="D20" s="44" t="str">
        <f>IFERROR(VLOOKUP($B20,ﾘｽﾄ!A:B,2,FALSE),"")</f>
        <v>経営戦略室</v>
      </c>
      <c r="E20" s="108" t="s">
        <v>223</v>
      </c>
      <c r="F20" s="37" t="str" cm="1">
        <f t="array" aca="1" ref="F20" ca="1">HYPERLINK(INDIRECT(C20),D20)</f>
        <v>経営戦略室</v>
      </c>
      <c r="G20" s="45"/>
    </row>
    <row r="21" spans="2:7" ht="19.95" customHeight="1" x14ac:dyDescent="0.45">
      <c r="D21" s="36"/>
      <c r="E21" s="106" t="s">
        <v>224</v>
      </c>
      <c r="F21" s="40"/>
      <c r="G21" s="39"/>
    </row>
    <row r="22" spans="2:7" ht="19.95" customHeight="1" x14ac:dyDescent="0.45">
      <c r="D22" s="36"/>
      <c r="E22" s="106" t="s">
        <v>225</v>
      </c>
      <c r="F22" s="40"/>
      <c r="G22" s="39"/>
    </row>
    <row r="23" spans="2:7" ht="19.95" customHeight="1" x14ac:dyDescent="0.45">
      <c r="D23" s="36"/>
      <c r="E23" s="106" t="s">
        <v>39</v>
      </c>
      <c r="F23" s="40"/>
      <c r="G23" s="39"/>
    </row>
    <row r="24" spans="2:7" ht="19.95" customHeight="1" x14ac:dyDescent="0.45">
      <c r="D24" s="41"/>
      <c r="E24" s="107" t="s">
        <v>226</v>
      </c>
      <c r="F24" s="42"/>
      <c r="G24" s="43"/>
    </row>
    <row r="25" spans="2:7" ht="19.95" customHeight="1" x14ac:dyDescent="0.45">
      <c r="B25" s="23">
        <f>B20+1</f>
        <v>5</v>
      </c>
      <c r="C25" s="24" t="str">
        <f>"ﾘｽﾄ!C"&amp;B25+2</f>
        <v>ﾘｽﾄ!C7</v>
      </c>
      <c r="D25" s="44" t="str">
        <f>IFERROR(VLOOKUP($B25,ﾘｽﾄ!A:B,2,FALSE),"")</f>
        <v>経営管理部</v>
      </c>
      <c r="E25" s="108" t="s">
        <v>227</v>
      </c>
      <c r="F25" s="37" t="str" cm="1">
        <f t="array" aca="1" ref="F25" ca="1">HYPERLINK(INDIRECT(C25),D25)</f>
        <v>経営管理部</v>
      </c>
      <c r="G25" s="45"/>
    </row>
    <row r="26" spans="2:7" ht="19.95" customHeight="1" x14ac:dyDescent="0.45">
      <c r="D26" s="36"/>
      <c r="E26" s="106" t="s">
        <v>228</v>
      </c>
      <c r="F26" s="40"/>
      <c r="G26" s="39"/>
    </row>
    <row r="27" spans="2:7" ht="19.95" customHeight="1" x14ac:dyDescent="0.45">
      <c r="D27" s="36"/>
      <c r="E27" s="106" t="s">
        <v>229</v>
      </c>
      <c r="F27" s="40"/>
      <c r="G27" s="39"/>
    </row>
    <row r="28" spans="2:7" ht="19.95" customHeight="1" x14ac:dyDescent="0.45">
      <c r="D28" s="36"/>
      <c r="E28" s="181" t="s">
        <v>230</v>
      </c>
      <c r="F28" s="40"/>
      <c r="G28" s="39" t="s">
        <v>231</v>
      </c>
    </row>
    <row r="29" spans="2:7" ht="19.95" customHeight="1" x14ac:dyDescent="0.45">
      <c r="D29" s="41"/>
      <c r="E29" s="107" t="s">
        <v>232</v>
      </c>
      <c r="F29" s="42"/>
      <c r="G29" s="43"/>
    </row>
    <row r="30" spans="2:7" ht="19.95" customHeight="1" x14ac:dyDescent="0.45">
      <c r="B30" s="23">
        <f>B25+1</f>
        <v>6</v>
      </c>
      <c r="C30" s="24" t="str">
        <f>"ﾘｽﾄ!C"&amp;B30+2</f>
        <v>ﾘｽﾄ!C8</v>
      </c>
      <c r="D30" s="44" t="str">
        <f>IFERROR(VLOOKUP($B30,ﾘｽﾄ!A:B,2,FALSE),"")</f>
        <v>財務部</v>
      </c>
      <c r="E30" s="154" t="s">
        <v>47</v>
      </c>
      <c r="F30" s="37" t="str" cm="1">
        <f t="array" aca="1" ref="F30" ca="1">HYPERLINK(INDIRECT(C30),D30)</f>
        <v>財務部</v>
      </c>
      <c r="G30" s="45"/>
    </row>
    <row r="31" spans="2:7" ht="19.95" customHeight="1" x14ac:dyDescent="0.45">
      <c r="D31" s="36"/>
      <c r="E31" s="156" t="s">
        <v>233</v>
      </c>
      <c r="F31" s="37"/>
      <c r="G31" s="39"/>
    </row>
    <row r="32" spans="2:7" ht="19.95" customHeight="1" x14ac:dyDescent="0.45">
      <c r="D32" s="36"/>
      <c r="E32" s="157" t="s">
        <v>234</v>
      </c>
      <c r="F32" s="37"/>
      <c r="G32" s="39"/>
    </row>
    <row r="33" spans="2:7" ht="19.95" customHeight="1" x14ac:dyDescent="0.45">
      <c r="D33" s="36"/>
      <c r="E33" s="156" t="s">
        <v>235</v>
      </c>
      <c r="F33" s="40"/>
      <c r="G33" s="39" t="s">
        <v>236</v>
      </c>
    </row>
    <row r="34" spans="2:7" ht="19.95" customHeight="1" x14ac:dyDescent="0.45">
      <c r="D34" s="36"/>
      <c r="E34" s="156" t="s">
        <v>237</v>
      </c>
      <c r="F34" s="40"/>
      <c r="G34" s="39" t="s">
        <v>58</v>
      </c>
    </row>
    <row r="35" spans="2:7" ht="19.95" customHeight="1" x14ac:dyDescent="0.45">
      <c r="D35" s="36"/>
      <c r="E35" s="156" t="s">
        <v>238</v>
      </c>
      <c r="F35" s="40"/>
      <c r="G35" s="39"/>
    </row>
    <row r="36" spans="2:7" ht="19.95" customHeight="1" x14ac:dyDescent="0.45">
      <c r="D36" s="36"/>
      <c r="E36" s="156" t="s">
        <v>239</v>
      </c>
      <c r="F36" s="40"/>
      <c r="G36" s="39"/>
    </row>
    <row r="37" spans="2:7" ht="19.95" customHeight="1" x14ac:dyDescent="0.45">
      <c r="D37" s="41"/>
      <c r="E37" s="158" t="s">
        <v>240</v>
      </c>
      <c r="F37" s="42"/>
      <c r="G37" s="43"/>
    </row>
    <row r="38" spans="2:7" ht="19.95" customHeight="1" x14ac:dyDescent="0.45">
      <c r="B38" s="23">
        <f>B30+1</f>
        <v>7</v>
      </c>
      <c r="C38" s="24" t="str">
        <f>"ﾘｽﾄ!C"&amp;B38+2</f>
        <v>ﾘｽﾄ!C9</v>
      </c>
      <c r="D38" s="44" t="str">
        <f>IFERROR(VLOOKUP($B38,ﾘｽﾄ!A:B,2,FALSE),"")</f>
        <v>経営戦略・管理・財務統括部</v>
      </c>
      <c r="E38" s="108" t="s">
        <v>241</v>
      </c>
      <c r="F38" s="37" t="str" cm="1">
        <f t="array" aca="1" ref="F38" ca="1">HYPERLINK(INDIRECT(C38),D38)</f>
        <v>経営戦略・管理・財務統括部</v>
      </c>
      <c r="G38" s="45"/>
    </row>
    <row r="39" spans="2:7" ht="19.95" customHeight="1" x14ac:dyDescent="0.45">
      <c r="D39" s="36"/>
      <c r="E39" s="106" t="s">
        <v>242</v>
      </c>
      <c r="F39" s="40"/>
      <c r="G39" s="39"/>
    </row>
    <row r="40" spans="2:7" ht="19.95" customHeight="1" x14ac:dyDescent="0.45">
      <c r="D40" s="36"/>
      <c r="E40" s="106" t="s">
        <v>243</v>
      </c>
      <c r="F40" s="40"/>
      <c r="G40" s="39"/>
    </row>
    <row r="41" spans="2:7" ht="19.95" customHeight="1" x14ac:dyDescent="0.45">
      <c r="D41" s="36"/>
      <c r="E41" s="106" t="s">
        <v>244</v>
      </c>
      <c r="F41" s="40"/>
      <c r="G41" s="39"/>
    </row>
    <row r="42" spans="2:7" ht="19.95" customHeight="1" x14ac:dyDescent="0.45">
      <c r="D42" s="41"/>
      <c r="E42" s="107" t="s">
        <v>245</v>
      </c>
      <c r="F42" s="42"/>
      <c r="G42" s="43"/>
    </row>
    <row r="43" spans="2:7" ht="19.95" customHeight="1" x14ac:dyDescent="0.45">
      <c r="B43" s="23">
        <f>B38+1</f>
        <v>8</v>
      </c>
      <c r="C43" s="24" t="str">
        <f>"ﾘｽﾄ!C"&amp;B43+2</f>
        <v>ﾘｽﾄ!C10</v>
      </c>
      <c r="D43" s="44" t="str">
        <f>IFERROR(VLOOKUP($B43,ﾘｽﾄ!A:B,2,FALSE),"")</f>
        <v>公共第1プロデュース部</v>
      </c>
      <c r="E43" s="108" t="s">
        <v>246</v>
      </c>
      <c r="F43" s="37" t="str" cm="1">
        <f t="array" aca="1" ref="F43" ca="1">HYPERLINK(INDIRECT(C43),D43)</f>
        <v>公共第1プロデュース部</v>
      </c>
      <c r="G43" s="45"/>
    </row>
    <row r="44" spans="2:7" ht="19.95" customHeight="1" x14ac:dyDescent="0.45">
      <c r="D44" s="36"/>
      <c r="E44" s="106" t="s">
        <v>247</v>
      </c>
      <c r="F44" s="40"/>
      <c r="G44" s="39"/>
    </row>
    <row r="45" spans="2:7" ht="19.95" customHeight="1" x14ac:dyDescent="0.45">
      <c r="D45" s="36"/>
      <c r="E45" s="106" t="s">
        <v>248</v>
      </c>
      <c r="F45" s="40"/>
      <c r="G45" s="39"/>
    </row>
    <row r="46" spans="2:7" ht="19.95" customHeight="1" x14ac:dyDescent="0.45">
      <c r="D46" s="36"/>
      <c r="E46" s="25" t="s">
        <v>249</v>
      </c>
      <c r="F46" s="40"/>
      <c r="G46" s="39"/>
    </row>
    <row r="47" spans="2:7" ht="19.95" customHeight="1" x14ac:dyDescent="0.45">
      <c r="D47" s="41"/>
      <c r="E47" s="106" t="s">
        <v>250</v>
      </c>
      <c r="F47" s="42"/>
      <c r="G47" s="43"/>
    </row>
    <row r="48" spans="2:7" ht="19.95" customHeight="1" x14ac:dyDescent="0.45">
      <c r="B48" s="23">
        <f>B43+1</f>
        <v>9</v>
      </c>
      <c r="C48" s="24" t="str">
        <f>"ﾘｽﾄ!C"&amp;B48+2</f>
        <v>ﾘｽﾄ!C11</v>
      </c>
      <c r="D48" s="44" t="str">
        <f>IFERROR(VLOOKUP($B48,ﾘｽﾄ!A:B,2,FALSE),"")</f>
        <v>公共第2プロデュース部</v>
      </c>
      <c r="E48" s="171" t="s">
        <v>251</v>
      </c>
      <c r="F48" s="46" t="str" cm="1">
        <f t="array" aca="1" ref="F48" ca="1">HYPERLINK(INDIRECT(C48),D48)</f>
        <v>公共第2プロデュース部</v>
      </c>
      <c r="G48" s="45"/>
    </row>
    <row r="49" spans="2:7" ht="19.95" customHeight="1" x14ac:dyDescent="0.45">
      <c r="D49" s="36"/>
      <c r="E49" s="172" t="s">
        <v>252</v>
      </c>
      <c r="F49" s="40"/>
      <c r="G49" s="39"/>
    </row>
    <row r="50" spans="2:7" ht="19.95" customHeight="1" x14ac:dyDescent="0.45">
      <c r="D50" s="36"/>
      <c r="E50" s="172" t="s">
        <v>253</v>
      </c>
      <c r="F50" s="40"/>
      <c r="G50" s="39"/>
    </row>
    <row r="51" spans="2:7" ht="19.95" customHeight="1" x14ac:dyDescent="0.45">
      <c r="D51" s="36"/>
      <c r="E51" s="172" t="s">
        <v>254</v>
      </c>
      <c r="F51" s="40"/>
      <c r="G51" s="39"/>
    </row>
    <row r="52" spans="2:7" ht="19.95" customHeight="1" x14ac:dyDescent="0.45">
      <c r="D52" s="41"/>
      <c r="E52" s="173" t="s">
        <v>255</v>
      </c>
      <c r="F52" s="42"/>
      <c r="G52" s="43"/>
    </row>
    <row r="53" spans="2:7" ht="19.95" customHeight="1" x14ac:dyDescent="0.45">
      <c r="B53" s="23">
        <f t="shared" ref="B53" si="0">B48+1</f>
        <v>10</v>
      </c>
      <c r="C53" s="24" t="str">
        <f>"ﾘｽﾄ!C"&amp;B53+2</f>
        <v>ﾘｽﾄ!C12</v>
      </c>
      <c r="D53" s="44" t="str">
        <f>IFERROR(VLOOKUP($B53,ﾘｽﾄ!A:B,2,FALSE),"")</f>
        <v>公共DX推進部</v>
      </c>
      <c r="E53" s="108" t="s">
        <v>256</v>
      </c>
      <c r="F53" s="46" t="str" cm="1">
        <f t="array" aca="1" ref="F53" ca="1">HYPERLINK(INDIRECT(C53),D53)</f>
        <v>公共DX推進部</v>
      </c>
      <c r="G53" s="45"/>
    </row>
    <row r="54" spans="2:7" ht="19.95" customHeight="1" x14ac:dyDescent="0.45">
      <c r="D54" s="36"/>
      <c r="E54" s="106" t="s">
        <v>257</v>
      </c>
      <c r="F54" s="40"/>
      <c r="G54" s="39"/>
    </row>
    <row r="55" spans="2:7" ht="19.95" customHeight="1" x14ac:dyDescent="0.45">
      <c r="D55" s="36"/>
      <c r="E55" s="106" t="s">
        <v>258</v>
      </c>
      <c r="F55" s="40"/>
      <c r="G55" s="39"/>
    </row>
    <row r="56" spans="2:7" ht="19.95" customHeight="1" x14ac:dyDescent="0.45">
      <c r="D56" s="36"/>
      <c r="E56" s="106" t="s">
        <v>259</v>
      </c>
      <c r="F56" s="40"/>
      <c r="G56" s="39"/>
    </row>
    <row r="57" spans="2:7" ht="19.95" customHeight="1" x14ac:dyDescent="0.45">
      <c r="D57" s="41"/>
      <c r="E57" s="107" t="s">
        <v>260</v>
      </c>
      <c r="F57" s="42"/>
      <c r="G57" s="43"/>
    </row>
    <row r="58" spans="2:7" ht="19.95" customHeight="1" x14ac:dyDescent="0.45">
      <c r="B58" s="23">
        <f t="shared" ref="B58" si="1">B53+1</f>
        <v>11</v>
      </c>
      <c r="C58" s="24" t="str">
        <f>"ﾘｽﾄ!C"&amp;B58+2</f>
        <v>ﾘｽﾄ!C13</v>
      </c>
      <c r="D58" s="44" t="str">
        <f>IFERROR(VLOOKUP($B58,ﾘｽﾄ!A:B,2,FALSE),"")</f>
        <v>社会インフラサービス部</v>
      </c>
      <c r="E58" s="164" t="s">
        <v>261</v>
      </c>
      <c r="F58" s="46" t="str" cm="1">
        <f t="array" aca="1" ref="F58" ca="1">HYPERLINK(INDIRECT(C58),D58)</f>
        <v>社会インフラサービス部</v>
      </c>
      <c r="G58" s="45"/>
    </row>
    <row r="59" spans="2:7" ht="19.95" customHeight="1" x14ac:dyDescent="0.45">
      <c r="D59" s="36"/>
      <c r="E59" s="163" t="s">
        <v>262</v>
      </c>
      <c r="F59" s="40"/>
      <c r="G59" s="39"/>
    </row>
    <row r="60" spans="2:7" ht="19.95" customHeight="1" x14ac:dyDescent="0.45">
      <c r="D60" s="36"/>
      <c r="E60" s="163" t="s">
        <v>86</v>
      </c>
      <c r="F60" s="40"/>
      <c r="G60" s="39"/>
    </row>
    <row r="61" spans="2:7" ht="19.95" customHeight="1" x14ac:dyDescent="0.45">
      <c r="D61" s="36"/>
      <c r="E61" s="163" t="s">
        <v>263</v>
      </c>
      <c r="F61" s="40"/>
      <c r="G61" s="39"/>
    </row>
    <row r="62" spans="2:7" ht="19.95" customHeight="1" x14ac:dyDescent="0.45">
      <c r="D62" s="36"/>
      <c r="E62" s="163" t="s">
        <v>264</v>
      </c>
      <c r="F62" s="40"/>
      <c r="G62" s="39"/>
    </row>
    <row r="63" spans="2:7" ht="19.95" customHeight="1" x14ac:dyDescent="0.45">
      <c r="D63" s="41"/>
      <c r="E63" s="165" t="s">
        <v>89</v>
      </c>
      <c r="F63" s="42"/>
      <c r="G63" s="43"/>
    </row>
    <row r="64" spans="2:7" ht="19.95" customHeight="1" x14ac:dyDescent="0.45">
      <c r="B64" s="23">
        <f t="shared" ref="B64" si="2">B58+1</f>
        <v>12</v>
      </c>
      <c r="C64" s="24" t="str">
        <f>"ﾘｽﾄ!C"&amp;B64+2</f>
        <v>ﾘｽﾄ!C14</v>
      </c>
      <c r="D64" s="44" t="str">
        <f>IFERROR(VLOOKUP($B64,ﾘｽﾄ!A:B,2,FALSE),"")</f>
        <v>公共ビジネス事業部</v>
      </c>
      <c r="E64" s="108"/>
      <c r="F64" s="46" t="str" cm="1">
        <f t="array" aca="1" ref="F64" ca="1">HYPERLINK(INDIRECT(C64),D64)</f>
        <v>公共ビジネス事業部</v>
      </c>
      <c r="G64" s="45"/>
    </row>
    <row r="65" spans="2:7" ht="19.95" customHeight="1" x14ac:dyDescent="0.45">
      <c r="D65" s="36"/>
      <c r="E65" s="106"/>
      <c r="F65" s="40"/>
      <c r="G65" s="39"/>
    </row>
    <row r="66" spans="2:7" ht="19.95" customHeight="1" x14ac:dyDescent="0.45">
      <c r="D66" s="36"/>
      <c r="E66" s="106"/>
      <c r="F66" s="40"/>
      <c r="G66" s="39"/>
    </row>
    <row r="67" spans="2:7" ht="19.95" customHeight="1" x14ac:dyDescent="0.45">
      <c r="D67" s="36"/>
      <c r="E67" s="106"/>
      <c r="F67" s="40"/>
      <c r="G67" s="39"/>
    </row>
    <row r="68" spans="2:7" ht="19.95" customHeight="1" x14ac:dyDescent="0.45">
      <c r="D68" s="41"/>
      <c r="E68" s="107"/>
      <c r="F68" s="42"/>
      <c r="G68" s="43"/>
    </row>
    <row r="69" spans="2:7" ht="19.95" customHeight="1" x14ac:dyDescent="0.45">
      <c r="B69" s="23">
        <f t="shared" ref="B69" si="3">B64+1</f>
        <v>13</v>
      </c>
      <c r="C69" s="24" t="str">
        <f>"ﾘｽﾄ!C"&amp;B69+2</f>
        <v>ﾘｽﾄ!C15</v>
      </c>
      <c r="D69" s="44" t="str">
        <f>IFERROR(VLOOKUP($B69,ﾘｽﾄ!A:B,2,FALSE),"")</f>
        <v>ITサービスマネジメント部</v>
      </c>
      <c r="E69" s="108" t="s">
        <v>265</v>
      </c>
      <c r="F69" s="46" t="str" cm="1">
        <f t="array" aca="1" ref="F69" ca="1">HYPERLINK(INDIRECT(C69),D69)</f>
        <v>ITサービスマネジメント部</v>
      </c>
      <c r="G69" s="45"/>
    </row>
    <row r="70" spans="2:7" ht="19.95" customHeight="1" x14ac:dyDescent="0.45">
      <c r="D70" s="36"/>
      <c r="E70" s="140" t="s">
        <v>266</v>
      </c>
      <c r="F70" s="40"/>
      <c r="G70" s="39"/>
    </row>
    <row r="71" spans="2:7" ht="19.95" customHeight="1" x14ac:dyDescent="0.45">
      <c r="D71" s="36"/>
      <c r="E71" s="143" t="s">
        <v>267</v>
      </c>
      <c r="F71" s="40"/>
      <c r="G71" s="39"/>
    </row>
    <row r="72" spans="2:7" ht="19.95" customHeight="1" x14ac:dyDescent="0.45">
      <c r="D72" s="36"/>
      <c r="E72" s="140" t="s">
        <v>268</v>
      </c>
      <c r="F72" s="40"/>
      <c r="G72" s="39"/>
    </row>
    <row r="73" spans="2:7" ht="19.95" customHeight="1" x14ac:dyDescent="0.45">
      <c r="D73" s="41"/>
      <c r="E73" s="107" t="s">
        <v>269</v>
      </c>
      <c r="F73" s="42"/>
      <c r="G73" s="43"/>
    </row>
    <row r="74" spans="2:7" ht="19.95" customHeight="1" x14ac:dyDescent="0.45">
      <c r="B74" s="23">
        <f t="shared" ref="B74" si="4">B69+1</f>
        <v>14</v>
      </c>
      <c r="C74" s="24" t="str">
        <f>"ﾘｽﾄ!C"&amp;B74+2</f>
        <v>ﾘｽﾄ!C16</v>
      </c>
      <c r="D74" s="44" t="str">
        <f>IFERROR(VLOOKUP($B74,ﾘｽﾄ!A:B,2,FALSE),"")</f>
        <v>標準化・ガバメントクラウド推進部</v>
      </c>
      <c r="E74" s="108" t="s">
        <v>270</v>
      </c>
      <c r="F74" s="46" t="str" cm="1">
        <f t="array" aca="1" ref="F74" ca="1">HYPERLINK(INDIRECT(C74),D74)</f>
        <v>標準化・ガバメントクラウド推進部</v>
      </c>
      <c r="G74" s="45"/>
    </row>
    <row r="75" spans="2:7" ht="19.95" customHeight="1" x14ac:dyDescent="0.45">
      <c r="D75" s="36"/>
      <c r="E75" s="106" t="s">
        <v>271</v>
      </c>
      <c r="F75" s="40"/>
      <c r="G75" s="39"/>
    </row>
    <row r="76" spans="2:7" ht="19.95" customHeight="1" x14ac:dyDescent="0.45">
      <c r="D76" s="36"/>
      <c r="E76" s="106" t="s">
        <v>272</v>
      </c>
      <c r="F76" s="40"/>
      <c r="G76" s="39"/>
    </row>
    <row r="77" spans="2:7" ht="19.95" customHeight="1" x14ac:dyDescent="0.45">
      <c r="D77" s="36"/>
      <c r="E77" s="106" t="s">
        <v>273</v>
      </c>
      <c r="F77" s="40"/>
      <c r="G77" s="39"/>
    </row>
    <row r="78" spans="2:7" ht="19.95" customHeight="1" x14ac:dyDescent="0.45">
      <c r="D78" s="41"/>
      <c r="E78" s="107" t="s">
        <v>274</v>
      </c>
      <c r="F78" s="42"/>
      <c r="G78" s="43"/>
    </row>
    <row r="79" spans="2:7" ht="19.95" customHeight="1" x14ac:dyDescent="0.45">
      <c r="B79" s="23">
        <f t="shared" ref="B79" si="5">B74+1</f>
        <v>15</v>
      </c>
      <c r="C79" s="24" t="str">
        <f>"ﾘｽﾄ!C"&amp;B79+2</f>
        <v>ﾘｽﾄ!C17</v>
      </c>
      <c r="D79" s="44" t="str">
        <f>IFERROR(VLOOKUP($B79,ﾘｽﾄ!A:B,2,FALSE),"")</f>
        <v>ITサービス事業部</v>
      </c>
      <c r="E79" s="108" t="s">
        <v>100</v>
      </c>
      <c r="F79" s="46" t="str" cm="1">
        <f t="array" aca="1" ref="F79" ca="1">HYPERLINK(INDIRECT(C79),D79)</f>
        <v>ITサービス事業部</v>
      </c>
      <c r="G79" s="45"/>
    </row>
    <row r="80" spans="2:7" ht="19.95" customHeight="1" x14ac:dyDescent="0.45">
      <c r="D80" s="36"/>
      <c r="E80" s="106" t="s">
        <v>102</v>
      </c>
      <c r="F80" s="40"/>
      <c r="G80" s="39"/>
    </row>
    <row r="81" spans="2:7" ht="19.95" customHeight="1" x14ac:dyDescent="0.45">
      <c r="D81" s="36"/>
      <c r="E81" s="106" t="s">
        <v>275</v>
      </c>
      <c r="F81" s="40"/>
      <c r="G81" s="39"/>
    </row>
    <row r="82" spans="2:7" ht="19.95" customHeight="1" x14ac:dyDescent="0.45">
      <c r="D82" s="36"/>
      <c r="E82" s="106" t="s">
        <v>276</v>
      </c>
      <c r="F82" s="40"/>
      <c r="G82" s="39"/>
    </row>
    <row r="83" spans="2:7" ht="19.95" customHeight="1" x14ac:dyDescent="0.45">
      <c r="D83" s="41"/>
      <c r="E83" s="107" t="s">
        <v>277</v>
      </c>
      <c r="F83" s="42"/>
      <c r="G83" s="43"/>
    </row>
    <row r="84" spans="2:7" ht="19.95" customHeight="1" x14ac:dyDescent="0.45">
      <c r="B84" s="23">
        <f t="shared" ref="B84" si="6">B79+1</f>
        <v>16</v>
      </c>
      <c r="C84" s="24" t="str">
        <f>"ﾘｽﾄ!C"&amp;B84+2</f>
        <v>ﾘｽﾄ!C18</v>
      </c>
      <c r="D84" s="44" t="str">
        <f>IFERROR(VLOOKUP($B84,ﾘｽﾄ!A:B,2,FALSE),"")</f>
        <v>DXビジネスプロデュース部</v>
      </c>
      <c r="E84" s="108" t="s">
        <v>278</v>
      </c>
      <c r="F84" s="46" t="str" cm="1">
        <f t="array" aca="1" ref="F84" ca="1">HYPERLINK(INDIRECT(C84),D84)</f>
        <v>DXビジネスプロデュース部</v>
      </c>
      <c r="G84" s="45"/>
    </row>
    <row r="85" spans="2:7" ht="19.95" customHeight="1" x14ac:dyDescent="0.45">
      <c r="D85" s="36"/>
      <c r="E85" s="106" t="s">
        <v>279</v>
      </c>
      <c r="F85" s="40"/>
      <c r="G85" s="39"/>
    </row>
    <row r="86" spans="2:7" ht="19.95" customHeight="1" x14ac:dyDescent="0.45">
      <c r="D86" s="36"/>
      <c r="E86" s="106" t="s">
        <v>280</v>
      </c>
      <c r="F86" s="40"/>
      <c r="G86" s="39"/>
    </row>
    <row r="87" spans="2:7" ht="19.95" customHeight="1" x14ac:dyDescent="0.45">
      <c r="D87" s="36"/>
      <c r="E87" s="106" t="s">
        <v>281</v>
      </c>
      <c r="F87" s="40"/>
      <c r="G87" s="39"/>
    </row>
    <row r="88" spans="2:7" ht="19.95" customHeight="1" x14ac:dyDescent="0.45">
      <c r="D88" s="41"/>
      <c r="E88" s="107" t="s">
        <v>282</v>
      </c>
      <c r="F88" s="42"/>
      <c r="G88" s="43"/>
    </row>
    <row r="89" spans="2:7" ht="19.95" customHeight="1" x14ac:dyDescent="0.45">
      <c r="B89" s="23">
        <f t="shared" ref="B89" si="7">B84+1</f>
        <v>17</v>
      </c>
      <c r="C89" s="24" t="str">
        <f>"ﾘｽﾄ!C"&amp;B89+2</f>
        <v>ﾘｽﾄ!C19</v>
      </c>
      <c r="D89" s="44" t="str">
        <f>IFERROR(VLOOKUP($B89,ﾘｽﾄ!A:B,2,FALSE),"")</f>
        <v>九州ビジネスプロデュース部</v>
      </c>
      <c r="E89" s="168" t="s">
        <v>283</v>
      </c>
      <c r="F89" s="46" t="str" cm="1">
        <f t="array" aca="1" ref="F89" ca="1">HYPERLINK(INDIRECT(C89),D89)</f>
        <v>九州ビジネスプロデュース部</v>
      </c>
      <c r="G89" s="45"/>
    </row>
    <row r="90" spans="2:7" ht="19.95" customHeight="1" x14ac:dyDescent="0.45">
      <c r="D90" s="36"/>
      <c r="E90" s="169" t="s">
        <v>284</v>
      </c>
      <c r="F90" s="40"/>
      <c r="G90" s="39"/>
    </row>
    <row r="91" spans="2:7" ht="19.95" customHeight="1" x14ac:dyDescent="0.45">
      <c r="D91" s="36"/>
      <c r="E91" s="169" t="s">
        <v>285</v>
      </c>
      <c r="F91" s="40"/>
      <c r="G91" s="39"/>
    </row>
    <row r="92" spans="2:7" ht="19.95" customHeight="1" x14ac:dyDescent="0.45">
      <c r="D92" s="36"/>
      <c r="E92" s="106" t="s">
        <v>286</v>
      </c>
      <c r="F92" s="40"/>
      <c r="G92" s="39"/>
    </row>
    <row r="93" spans="2:7" ht="19.95" customHeight="1" x14ac:dyDescent="0.45">
      <c r="D93" s="41"/>
      <c r="E93" s="107" t="s">
        <v>287</v>
      </c>
      <c r="F93" s="42"/>
      <c r="G93" s="43"/>
    </row>
    <row r="94" spans="2:7" ht="19.95" customHeight="1" x14ac:dyDescent="0.45">
      <c r="B94" s="23">
        <f t="shared" ref="B94" si="8">B89+1</f>
        <v>18</v>
      </c>
      <c r="C94" s="24" t="str">
        <f>"ﾘｽﾄ!C"&amp;B94+2</f>
        <v>ﾘｽﾄ!C20</v>
      </c>
      <c r="D94" s="44" t="str">
        <f>IFERROR(VLOOKUP($B94,ﾘｽﾄ!A:B,2,FALSE),"")</f>
        <v>DXビジネスソリューション部</v>
      </c>
      <c r="E94" s="108" t="s">
        <v>288</v>
      </c>
      <c r="F94" s="46" t="str" cm="1">
        <f t="array" aca="1" ref="F94" ca="1">HYPERLINK(INDIRECT(C94),D94)</f>
        <v>DXビジネスソリューション部</v>
      </c>
      <c r="G94" s="45"/>
    </row>
    <row r="95" spans="2:7" ht="19.95" customHeight="1" x14ac:dyDescent="0.45">
      <c r="D95" s="36"/>
      <c r="E95" s="106" t="s">
        <v>289</v>
      </c>
      <c r="F95" s="40"/>
      <c r="G95" s="39"/>
    </row>
    <row r="96" spans="2:7" ht="19.95" customHeight="1" x14ac:dyDescent="0.45">
      <c r="D96" s="36"/>
      <c r="E96" s="106" t="s">
        <v>290</v>
      </c>
      <c r="F96" s="40"/>
      <c r="G96" s="39"/>
    </row>
    <row r="97" spans="2:7" ht="19.95" customHeight="1" x14ac:dyDescent="0.45">
      <c r="D97" s="36"/>
      <c r="E97" s="106" t="s">
        <v>291</v>
      </c>
      <c r="F97" s="40"/>
      <c r="G97" s="39"/>
    </row>
    <row r="98" spans="2:7" ht="19.95" customHeight="1" x14ac:dyDescent="0.45">
      <c r="D98" s="41"/>
      <c r="E98" s="107" t="s">
        <v>292</v>
      </c>
      <c r="F98" s="42"/>
      <c r="G98" s="43"/>
    </row>
    <row r="99" spans="2:7" ht="19.95" customHeight="1" x14ac:dyDescent="0.45">
      <c r="B99" s="23">
        <f t="shared" ref="B99" si="9">B94+1</f>
        <v>19</v>
      </c>
      <c r="C99" s="24" t="str">
        <f>"ﾘｽﾄ!C"&amp;B99+2</f>
        <v>ﾘｽﾄ!C21</v>
      </c>
      <c r="D99" s="44" t="str">
        <f>IFERROR(VLOOKUP($B99,ﾘｽﾄ!A:B,2,FALSE),"")</f>
        <v>システムサービス部</v>
      </c>
      <c r="E99" s="135" t="s">
        <v>293</v>
      </c>
      <c r="F99" s="46" t="str" cm="1">
        <f t="array" aca="1" ref="F99" ca="1">HYPERLINK(INDIRECT(C99),D99)</f>
        <v>システムサービス部</v>
      </c>
      <c r="G99" s="45"/>
    </row>
    <row r="100" spans="2:7" ht="19.95" customHeight="1" x14ac:dyDescent="0.45">
      <c r="D100" s="36"/>
      <c r="E100" s="159" t="s">
        <v>294</v>
      </c>
      <c r="F100" s="40"/>
      <c r="G100" s="39"/>
    </row>
    <row r="101" spans="2:7" ht="19.95" customHeight="1" x14ac:dyDescent="0.45">
      <c r="D101" s="36"/>
      <c r="E101" s="106" t="s">
        <v>295</v>
      </c>
      <c r="F101" s="40"/>
      <c r="G101" s="39"/>
    </row>
    <row r="102" spans="2:7" ht="19.95" customHeight="1" x14ac:dyDescent="0.45">
      <c r="D102" s="36"/>
      <c r="E102" s="106" t="s">
        <v>296</v>
      </c>
      <c r="F102" s="40"/>
      <c r="G102" s="39"/>
    </row>
    <row r="103" spans="2:7" ht="19.95" customHeight="1" x14ac:dyDescent="0.45">
      <c r="D103" s="41"/>
      <c r="E103" s="154" t="s">
        <v>297</v>
      </c>
      <c r="F103" s="42"/>
      <c r="G103" s="43"/>
    </row>
    <row r="104" spans="2:7" ht="19.95" customHeight="1" x14ac:dyDescent="0.45">
      <c r="B104" s="23">
        <f t="shared" ref="B104" si="10">B99+1</f>
        <v>20</v>
      </c>
      <c r="C104" s="24" t="str">
        <f>"ﾘｽﾄ!C"&amp;B104+2</f>
        <v>ﾘｽﾄ!C22</v>
      </c>
      <c r="D104" s="44" t="str">
        <f>IFERROR(VLOOKUP($B104,ﾘｽﾄ!A:B,2,FALSE),"")</f>
        <v>DX・海外連携推進室</v>
      </c>
      <c r="E104" s="108" t="s">
        <v>298</v>
      </c>
      <c r="F104" s="46" t="str" cm="1">
        <f t="array" aca="1" ref="F104" ca="1">HYPERLINK(INDIRECT(C104),D104)</f>
        <v>DX・海外連携推進室</v>
      </c>
      <c r="G104" s="45"/>
    </row>
    <row r="105" spans="2:7" ht="19.95" customHeight="1" x14ac:dyDescent="0.45">
      <c r="D105" s="36"/>
      <c r="E105" s="106" t="s">
        <v>299</v>
      </c>
      <c r="F105" s="40"/>
      <c r="G105" s="39"/>
    </row>
    <row r="106" spans="2:7" ht="19.95" customHeight="1" x14ac:dyDescent="0.45">
      <c r="D106" s="36"/>
      <c r="E106" s="106" t="s">
        <v>300</v>
      </c>
      <c r="F106" s="40"/>
      <c r="G106" s="39"/>
    </row>
    <row r="107" spans="2:7" ht="19.95" customHeight="1" x14ac:dyDescent="0.45">
      <c r="D107" s="36"/>
      <c r="E107" s="106" t="s">
        <v>301</v>
      </c>
      <c r="F107" s="40"/>
      <c r="G107" s="39"/>
    </row>
    <row r="108" spans="2:7" ht="19.95" customHeight="1" x14ac:dyDescent="0.45">
      <c r="D108" s="41"/>
      <c r="E108" s="107" t="s">
        <v>302</v>
      </c>
      <c r="F108" s="42"/>
      <c r="G108" s="43"/>
    </row>
    <row r="109" spans="2:7" ht="19.95" customHeight="1" x14ac:dyDescent="0.45">
      <c r="B109" s="23">
        <f t="shared" ref="B109" si="11">B104+1</f>
        <v>21</v>
      </c>
      <c r="C109" s="24" t="str">
        <f>"ﾘｽﾄ!C"&amp;B109+2</f>
        <v>ﾘｽﾄ!C23</v>
      </c>
      <c r="D109" s="44" t="str">
        <f>IFERROR(VLOOKUP($B109,ﾘｽﾄ!A:B,2,FALSE),"")</f>
        <v>DX推進部</v>
      </c>
      <c r="E109" s="108" t="s">
        <v>303</v>
      </c>
      <c r="F109" s="46" t="str" cm="1">
        <f t="array" aca="1" ref="F109" ca="1">HYPERLINK(INDIRECT(C109),D109)</f>
        <v>DX推進部</v>
      </c>
      <c r="G109" s="45"/>
    </row>
    <row r="110" spans="2:7" ht="19.95" customHeight="1" x14ac:dyDescent="0.45">
      <c r="D110" s="36"/>
      <c r="E110" s="106" t="s">
        <v>304</v>
      </c>
      <c r="F110" s="40"/>
      <c r="G110" s="39"/>
    </row>
    <row r="111" spans="2:7" ht="19.95" customHeight="1" x14ac:dyDescent="0.45">
      <c r="D111" s="36"/>
      <c r="E111" s="106" t="s">
        <v>305</v>
      </c>
      <c r="F111" s="40"/>
      <c r="G111" s="39"/>
    </row>
    <row r="112" spans="2:7" ht="19.95" customHeight="1" x14ac:dyDescent="0.45">
      <c r="D112" s="36"/>
      <c r="E112" s="106" t="s">
        <v>306</v>
      </c>
      <c r="F112" s="40"/>
      <c r="G112" s="39"/>
    </row>
    <row r="113" spans="2:7" ht="19.95" customHeight="1" x14ac:dyDescent="0.45">
      <c r="D113" s="41"/>
      <c r="E113" s="107" t="s">
        <v>307</v>
      </c>
      <c r="F113" s="42"/>
      <c r="G113" s="170" t="s">
        <v>308</v>
      </c>
    </row>
    <row r="114" spans="2:7" ht="19.95" customHeight="1" x14ac:dyDescent="0.45">
      <c r="B114" s="23">
        <f t="shared" ref="B114" si="12">B109+1</f>
        <v>22</v>
      </c>
      <c r="C114" s="24" t="str">
        <f>"ﾘｽﾄ!C"&amp;B114+2</f>
        <v>ﾘｽﾄ!C24</v>
      </c>
      <c r="D114" s="44" t="str">
        <f>IFERROR(VLOOKUP($B114,ﾘｽﾄ!A:B,2,FALSE),"")</f>
        <v>DXプロデュース事業部</v>
      </c>
      <c r="E114" s="108" t="s">
        <v>136</v>
      </c>
      <c r="F114" s="46" t="str" cm="1">
        <f t="array" aca="1" ref="F114" ca="1">HYPERLINK(INDIRECT(C114),D114)</f>
        <v>DXプロデュース事業部</v>
      </c>
      <c r="G114" s="45"/>
    </row>
    <row r="115" spans="2:7" ht="19.95" customHeight="1" x14ac:dyDescent="0.45">
      <c r="D115" s="36"/>
      <c r="E115" s="106" t="s">
        <v>137</v>
      </c>
      <c r="F115" s="40"/>
      <c r="G115" s="39"/>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41"/>
      <c r="E118" s="107"/>
      <c r="F118" s="42"/>
      <c r="G118" s="43"/>
    </row>
    <row r="119" spans="2:7" ht="19.95" customHeight="1" x14ac:dyDescent="0.45">
      <c r="B119" s="23">
        <f t="shared" ref="B119" si="13">B114+1</f>
        <v>23</v>
      </c>
      <c r="C119" s="24" t="str">
        <f>"ﾘｽﾄ!C"&amp;B119+2</f>
        <v>ﾘｽﾄ!C25</v>
      </c>
      <c r="D119" s="44" t="str">
        <f>IFERROR(VLOOKUP($B119,ﾘｽﾄ!A:B,2,FALSE),"")</f>
        <v>ビジネスプロデュース部</v>
      </c>
      <c r="E119" s="108" t="s">
        <v>309</v>
      </c>
      <c r="F119" s="46" t="str" cm="1">
        <f t="array" aca="1" ref="F119" ca="1">HYPERLINK(INDIRECT(C119),D119)</f>
        <v>ビジネスプロデュース部</v>
      </c>
      <c r="G119" s="45"/>
    </row>
    <row r="120" spans="2:7" ht="19.95" customHeight="1" x14ac:dyDescent="0.45">
      <c r="D120" s="36"/>
      <c r="E120" s="106" t="s">
        <v>310</v>
      </c>
      <c r="F120" s="40"/>
      <c r="G120" s="39"/>
    </row>
    <row r="121" spans="2:7" ht="19.95" customHeight="1" x14ac:dyDescent="0.45">
      <c r="D121" s="36"/>
      <c r="E121" s="106" t="s">
        <v>311</v>
      </c>
      <c r="F121" s="40"/>
      <c r="G121" s="39"/>
    </row>
    <row r="122" spans="2:7" ht="19.95" customHeight="1" x14ac:dyDescent="0.45">
      <c r="D122" s="36"/>
      <c r="E122" s="106" t="s">
        <v>312</v>
      </c>
      <c r="F122" s="40"/>
      <c r="G122" s="39"/>
    </row>
    <row r="123" spans="2:7" ht="19.95" customHeight="1" x14ac:dyDescent="0.45">
      <c r="D123" s="36"/>
      <c r="E123" s="106" t="s">
        <v>313</v>
      </c>
      <c r="F123" s="40"/>
      <c r="G123" s="39"/>
    </row>
    <row r="124" spans="2:7" ht="19.95" customHeight="1" x14ac:dyDescent="0.45">
      <c r="D124" s="41"/>
      <c r="E124" s="107" t="s">
        <v>314</v>
      </c>
      <c r="F124" s="42"/>
      <c r="G124" s="43"/>
    </row>
    <row r="125" spans="2:7" ht="19.95" customHeight="1" x14ac:dyDescent="0.45">
      <c r="B125" s="23">
        <f t="shared" ref="B125" si="14">B119+1</f>
        <v>24</v>
      </c>
      <c r="C125" s="24" t="str">
        <f>"ﾘｽﾄ!C"&amp;B125+2</f>
        <v>ﾘｽﾄ!C26</v>
      </c>
      <c r="D125" s="44" t="str">
        <f>IFERROR(VLOOKUP($B125,ﾘｽﾄ!A:B,2,FALSE),"")</f>
        <v>インフラビジネス推進部</v>
      </c>
      <c r="E125" s="135" t="s">
        <v>315</v>
      </c>
      <c r="F125" s="46" t="str" cm="1">
        <f t="array" aca="1" ref="F125" ca="1">HYPERLINK(INDIRECT(C125),D125)</f>
        <v>インフラビジネス推進部</v>
      </c>
      <c r="G125" s="45"/>
    </row>
    <row r="126" spans="2:7" ht="19.95" customHeight="1" x14ac:dyDescent="0.45">
      <c r="D126" s="36"/>
      <c r="E126" s="106" t="s">
        <v>316</v>
      </c>
      <c r="F126" s="40"/>
      <c r="G126" s="39"/>
    </row>
    <row r="127" spans="2:7" ht="19.95" customHeight="1" x14ac:dyDescent="0.45">
      <c r="D127" s="36"/>
      <c r="E127" s="106" t="s">
        <v>317</v>
      </c>
      <c r="F127" s="40"/>
      <c r="G127" s="39"/>
    </row>
    <row r="128" spans="2:7" ht="19.95" customHeight="1" x14ac:dyDescent="0.45">
      <c r="D128" s="36"/>
      <c r="E128" s="174" t="s">
        <v>318</v>
      </c>
      <c r="F128" s="40"/>
      <c r="G128" s="39" t="s">
        <v>148</v>
      </c>
    </row>
    <row r="129" spans="2:7" ht="19.95" customHeight="1" x14ac:dyDescent="0.45">
      <c r="D129" s="41"/>
      <c r="E129" s="107" t="s">
        <v>319</v>
      </c>
      <c r="F129" s="42"/>
      <c r="G129" s="43"/>
    </row>
    <row r="130" spans="2:7" ht="19.95" customHeight="1" x14ac:dyDescent="0.45">
      <c r="B130" s="23">
        <f t="shared" ref="B130" si="15">B125+1</f>
        <v>25</v>
      </c>
      <c r="C130" s="24" t="str">
        <f>"ﾘｽﾄ!C"&amp;B130+2</f>
        <v>ﾘｽﾄ!C27</v>
      </c>
      <c r="D130" s="44" t="str">
        <f>IFERROR(VLOOKUP($B130,ﾘｽﾄ!A:B,2,FALSE),"")</f>
        <v>ビジネスプロデュース事業部</v>
      </c>
      <c r="E130" s="108"/>
      <c r="F130" s="46" t="str" cm="1">
        <f t="array" aca="1" ref="F130" ca="1">HYPERLINK(INDIRECT(C130),D130)</f>
        <v>ビジネスプロデュース事業部</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6">B130+1</f>
        <v>26</v>
      </c>
      <c r="C135" s="24" t="str">
        <f>"ﾘｽﾄ!C"&amp;B135+2</f>
        <v>ﾘｽﾄ!C28</v>
      </c>
      <c r="D135" s="44" t="str">
        <f>IFERROR(VLOOKUP($B135,ﾘｽﾄ!A:B,2,FALSE),"")</f>
        <v>西日本支社</v>
      </c>
      <c r="E135" s="108" t="s">
        <v>320</v>
      </c>
      <c r="F135" s="46" t="str" cm="1">
        <f t="array" aca="1" ref="F135" ca="1">HYPERLINK(INDIRECT(C135),D135)</f>
        <v>西日本支社</v>
      </c>
      <c r="G135" s="45"/>
    </row>
    <row r="136" spans="2:7" ht="19.95" customHeight="1" x14ac:dyDescent="0.45">
      <c r="D136" s="36"/>
      <c r="E136" s="106" t="s">
        <v>321</v>
      </c>
      <c r="F136" s="40"/>
      <c r="G136" s="39"/>
    </row>
    <row r="137" spans="2:7" ht="19.95" customHeight="1" x14ac:dyDescent="0.45">
      <c r="D137" s="36"/>
      <c r="E137" s="106" t="s">
        <v>322</v>
      </c>
      <c r="F137" s="40"/>
      <c r="G137" s="39"/>
    </row>
    <row r="138" spans="2:7" ht="19.95" customHeight="1" x14ac:dyDescent="0.45">
      <c r="D138" s="36"/>
      <c r="E138" s="106" t="s">
        <v>323</v>
      </c>
      <c r="F138" s="40"/>
      <c r="G138" s="39"/>
    </row>
    <row r="139" spans="2:7" ht="19.95" customHeight="1" x14ac:dyDescent="0.45">
      <c r="D139" s="41"/>
      <c r="E139" s="107" t="s">
        <v>324</v>
      </c>
      <c r="F139" s="42"/>
      <c r="G139" s="43"/>
    </row>
    <row r="140" spans="2:7" ht="19.95" customHeight="1" x14ac:dyDescent="0.45">
      <c r="B140" s="23">
        <f t="shared" ref="B140" si="17">B135+1</f>
        <v>27</v>
      </c>
      <c r="C140" s="24" t="str">
        <f>"ﾘｽﾄ!C"&amp;B140+2</f>
        <v>ﾘｽﾄ!C29</v>
      </c>
      <c r="D140" s="44" t="str">
        <f>IFERROR(VLOOKUP($B140,ﾘｽﾄ!A:B,2,FALSE),"")</f>
        <v>福岡支社</v>
      </c>
      <c r="E140" s="108" t="s">
        <v>325</v>
      </c>
      <c r="F140" s="46" t="str" cm="1">
        <f t="array" aca="1" ref="F140" ca="1">HYPERLINK(INDIRECT(C140),D140)</f>
        <v>福岡支社</v>
      </c>
      <c r="G140" s="45"/>
    </row>
    <row r="141" spans="2:7" ht="19.95" customHeight="1" x14ac:dyDescent="0.45">
      <c r="D141" s="36"/>
      <c r="E141" s="149" t="s">
        <v>326</v>
      </c>
      <c r="F141" s="40"/>
      <c r="G141" s="39"/>
    </row>
    <row r="142" spans="2:7" ht="19.95" customHeight="1" x14ac:dyDescent="0.45">
      <c r="D142" s="36"/>
      <c r="E142" s="149" t="s">
        <v>327</v>
      </c>
      <c r="F142" s="40"/>
      <c r="G142" s="39"/>
    </row>
    <row r="143" spans="2:7" ht="19.95" customHeight="1" x14ac:dyDescent="0.45">
      <c r="D143" s="36"/>
      <c r="E143" s="149" t="s">
        <v>328</v>
      </c>
      <c r="F143" s="40"/>
      <c r="G143" s="39"/>
    </row>
    <row r="144" spans="2:7" ht="19.95" customHeight="1" x14ac:dyDescent="0.45">
      <c r="D144" s="41"/>
      <c r="E144" s="107" t="s">
        <v>329</v>
      </c>
      <c r="F144" s="42"/>
      <c r="G144" s="43"/>
    </row>
    <row r="145" spans="2:7" ht="19.95" customHeight="1" x14ac:dyDescent="0.45">
      <c r="B145" s="23">
        <f t="shared" ref="B145" si="18">B140+1</f>
        <v>28</v>
      </c>
      <c r="C145" s="24" t="str">
        <f>"ﾘｽﾄ!C"&amp;B145+2</f>
        <v>ﾘｽﾄ!C30</v>
      </c>
      <c r="D145" s="44" t="str">
        <f>IFERROR(VLOOKUP($B145,ﾘｽﾄ!A:B,2,FALSE),"")</f>
        <v>公共ソリューション部</v>
      </c>
      <c r="E145" s="114" t="s">
        <v>330</v>
      </c>
      <c r="F145" s="46" t="str" cm="1">
        <f t="array" aca="1" ref="F145" ca="1">HYPERLINK(INDIRECT(C145),D145)</f>
        <v>公共ソリューション部</v>
      </c>
      <c r="G145" s="45"/>
    </row>
    <row r="146" spans="2:7" ht="19.95" customHeight="1" x14ac:dyDescent="0.45">
      <c r="D146" s="36"/>
      <c r="E146" s="115" t="s">
        <v>331</v>
      </c>
      <c r="F146" s="40"/>
      <c r="G146" s="39"/>
    </row>
    <row r="147" spans="2:7" ht="19.95" customHeight="1" x14ac:dyDescent="0.45">
      <c r="D147" s="36"/>
      <c r="E147" s="115" t="s">
        <v>332</v>
      </c>
      <c r="F147" s="40"/>
      <c r="G147" s="39"/>
    </row>
    <row r="148" spans="2:7" ht="19.95" customHeight="1" x14ac:dyDescent="0.45">
      <c r="D148" s="36"/>
      <c r="E148" s="115" t="s">
        <v>333</v>
      </c>
      <c r="F148" s="40"/>
      <c r="G148" s="39"/>
    </row>
    <row r="149" spans="2:7" ht="19.95" customHeight="1" x14ac:dyDescent="0.45">
      <c r="D149" s="41"/>
      <c r="E149" s="107" t="s">
        <v>334</v>
      </c>
      <c r="F149" s="42"/>
      <c r="G149" s="43"/>
    </row>
    <row r="150" spans="2:7" ht="19.95" customHeight="1" x14ac:dyDescent="0.45">
      <c r="B150" s="23">
        <f t="shared" ref="B150" si="19">B145+1</f>
        <v>29</v>
      </c>
      <c r="C150" s="24" t="str">
        <f t="shared" ref="C150" si="20">"ﾘｽﾄ!C"&amp;B150+2</f>
        <v>ﾘｽﾄ!C31</v>
      </c>
      <c r="D150" s="44" t="str">
        <f>IFERROR(VLOOKUP($B150,ﾘｽﾄ!A:B,2,FALSE),"")</f>
        <v>ソリューション開発部</v>
      </c>
      <c r="E150" s="138" t="s">
        <v>335</v>
      </c>
      <c r="F150" s="46" t="str" cm="1">
        <f t="array" aca="1" ref="F150" ca="1">HYPERLINK(INDIRECT(C150),D150)</f>
        <v>ソリューション開発部</v>
      </c>
      <c r="G150" s="45"/>
    </row>
    <row r="151" spans="2:7" ht="19.95" customHeight="1" x14ac:dyDescent="0.45">
      <c r="D151" s="36"/>
      <c r="E151" s="139" t="s">
        <v>166</v>
      </c>
      <c r="F151" s="40"/>
      <c r="G151" s="39"/>
    </row>
    <row r="152" spans="2:7" ht="19.95" customHeight="1" x14ac:dyDescent="0.45">
      <c r="D152" s="36"/>
      <c r="E152" s="139" t="s">
        <v>336</v>
      </c>
      <c r="F152" s="40"/>
      <c r="G152" s="39"/>
    </row>
    <row r="153" spans="2:7" ht="19.95" customHeight="1" x14ac:dyDescent="0.45">
      <c r="D153" s="36"/>
      <c r="E153" s="139" t="s">
        <v>337</v>
      </c>
      <c r="F153" s="40"/>
      <c r="G153" s="39"/>
    </row>
    <row r="154" spans="2:7" ht="19.95" customHeight="1" x14ac:dyDescent="0.45">
      <c r="D154" s="36"/>
      <c r="E154" s="106" t="s">
        <v>338</v>
      </c>
      <c r="F154" s="40"/>
      <c r="G154" s="39"/>
    </row>
    <row r="155" spans="2:7" ht="19.95" customHeight="1" x14ac:dyDescent="0.45">
      <c r="D155" s="41"/>
      <c r="E155" s="107" t="s">
        <v>339</v>
      </c>
      <c r="F155" s="42"/>
      <c r="G155" s="43"/>
    </row>
    <row r="156" spans="2:7" ht="19.95" customHeight="1" x14ac:dyDescent="0.45">
      <c r="B156" s="23">
        <f t="shared" ref="B156" si="21">B150+1</f>
        <v>30</v>
      </c>
      <c r="C156" s="24" t="str">
        <f t="shared" ref="C156" si="22">"ﾘｽﾄ!C"&amp;B156+2</f>
        <v>ﾘｽﾄ!C32</v>
      </c>
      <c r="D156" s="44" t="str">
        <f>IFERROR(VLOOKUP($B156,ﾘｽﾄ!A:B,2,FALSE),"")</f>
        <v>公共ソリューション開発センター</v>
      </c>
      <c r="E156" s="108" t="s">
        <v>340</v>
      </c>
      <c r="F156" s="46" t="str" cm="1">
        <f t="array" aca="1" ref="F156" ca="1">HYPERLINK(INDIRECT(C156),D156)</f>
        <v>公共ソリューション開発センター</v>
      </c>
      <c r="G156" s="45"/>
    </row>
    <row r="157" spans="2:7" ht="19.95" customHeight="1" x14ac:dyDescent="0.45">
      <c r="D157" s="36"/>
      <c r="E157" s="106" t="s">
        <v>341</v>
      </c>
      <c r="F157" s="40"/>
      <c r="G157" s="39"/>
    </row>
    <row r="158" spans="2:7" ht="19.95" customHeight="1" x14ac:dyDescent="0.45">
      <c r="D158" s="36"/>
      <c r="E158" s="106" t="s">
        <v>173</v>
      </c>
      <c r="F158" s="40"/>
      <c r="G158" s="39"/>
    </row>
    <row r="159" spans="2:7" ht="19.95" customHeight="1" x14ac:dyDescent="0.45">
      <c r="D159" s="36"/>
      <c r="E159" s="106" t="s">
        <v>174</v>
      </c>
      <c r="F159" s="40"/>
      <c r="G159" s="39"/>
    </row>
    <row r="160" spans="2:7" ht="19.95" customHeight="1" x14ac:dyDescent="0.45">
      <c r="D160" s="41"/>
      <c r="E160" s="107" t="s">
        <v>342</v>
      </c>
      <c r="F160" s="42"/>
      <c r="G160" s="43"/>
    </row>
    <row r="161" spans="2:7" ht="19.95" customHeight="1" x14ac:dyDescent="0.45">
      <c r="B161" s="23">
        <f t="shared" ref="B161" si="23">B156+1</f>
        <v>31</v>
      </c>
      <c r="C161" s="24" t="str">
        <f t="shared" ref="C161" si="24">"ﾘｽﾄ!C"&amp;B161+2</f>
        <v>ﾘｽﾄ!C33</v>
      </c>
      <c r="D161" s="44" t="str">
        <f>IFERROR(VLOOKUP($B161,ﾘｽﾄ!A:B,2,FALSE),"")</f>
        <v>システムプロデュース事業部</v>
      </c>
      <c r="E161" s="108" t="s">
        <v>343</v>
      </c>
      <c r="F161" s="46" t="str" cm="1">
        <f t="array" aca="1" ref="F161" ca="1">HYPERLINK(INDIRECT(C161),D161)</f>
        <v>システムプロデュース事業部</v>
      </c>
      <c r="G161" s="45"/>
    </row>
    <row r="162" spans="2:7" ht="19.95" customHeight="1" x14ac:dyDescent="0.45">
      <c r="D162" s="36"/>
      <c r="E162" s="106" t="s">
        <v>344</v>
      </c>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5">B161+1</f>
        <v>32</v>
      </c>
      <c r="C166" s="24" t="str">
        <f t="shared" ref="C166" si="26">"ﾘｽﾄ!C"&amp;B166+2</f>
        <v>ﾘｽﾄ!C34</v>
      </c>
      <c r="D166" s="44" t="str">
        <f>IFERROR(VLOOKUP($B166,ﾘｽﾄ!A:B,2,FALSE),"")</f>
        <v>デジタルイノベーション推進部</v>
      </c>
      <c r="E166" s="108" t="s">
        <v>345</v>
      </c>
      <c r="F166" s="46" t="str" cm="1">
        <f t="array" aca="1" ref="F166" ca="1">HYPERLINK(INDIRECT(C166),D166)</f>
        <v>デジタルイノベーション推進部</v>
      </c>
      <c r="G166" s="45"/>
    </row>
    <row r="167" spans="2:7" ht="19.95" customHeight="1" x14ac:dyDescent="0.45">
      <c r="D167" s="36"/>
      <c r="E167" s="106" t="s">
        <v>346</v>
      </c>
      <c r="F167" s="40"/>
      <c r="G167" s="39"/>
    </row>
    <row r="168" spans="2:7" ht="19.95" customHeight="1" x14ac:dyDescent="0.45">
      <c r="D168" s="36"/>
      <c r="E168" s="106" t="s">
        <v>179</v>
      </c>
      <c r="F168" s="40"/>
      <c r="G168" s="39"/>
    </row>
    <row r="169" spans="2:7" ht="19.95" customHeight="1" x14ac:dyDescent="0.45">
      <c r="D169" s="36"/>
      <c r="E169" s="106" t="s">
        <v>180</v>
      </c>
      <c r="F169" s="40"/>
      <c r="G169" s="39"/>
    </row>
    <row r="170" spans="2:7" ht="19.95" customHeight="1" x14ac:dyDescent="0.45">
      <c r="D170" s="41"/>
      <c r="E170" s="107" t="s">
        <v>347</v>
      </c>
      <c r="F170" s="42"/>
      <c r="G170" s="43"/>
    </row>
    <row r="171" spans="2:7" ht="19.95" customHeight="1" x14ac:dyDescent="0.45">
      <c r="B171" s="23">
        <f t="shared" ref="B171" si="27">B166+1</f>
        <v>33</v>
      </c>
      <c r="C171" s="24" t="str">
        <f t="shared" ref="C171" si="28">"ﾘｽﾄ!C"&amp;B171+2</f>
        <v>ﾘｽﾄ!C35</v>
      </c>
      <c r="D171" s="44" t="str">
        <f>IFERROR(VLOOKUP($B171,ﾘｽﾄ!A:B,2,FALSE),"")</f>
        <v>施設予約サービス部</v>
      </c>
      <c r="E171" s="135" t="s">
        <v>348</v>
      </c>
      <c r="F171" s="46" t="str" cm="1">
        <f t="array" aca="1" ref="F171" ca="1">HYPERLINK(INDIRECT(C171),D171)</f>
        <v>施設予約サービス部</v>
      </c>
      <c r="G171" s="45"/>
    </row>
    <row r="172" spans="2:7" ht="19.95" customHeight="1" x14ac:dyDescent="0.45">
      <c r="D172" s="36"/>
      <c r="E172" s="106" t="s">
        <v>349</v>
      </c>
      <c r="F172" s="40"/>
      <c r="G172" s="39"/>
    </row>
    <row r="173" spans="2:7" ht="19.95" customHeight="1" x14ac:dyDescent="0.45">
      <c r="D173" s="36"/>
      <c r="E173" s="106" t="s">
        <v>184</v>
      </c>
      <c r="F173" s="40"/>
      <c r="G173" s="39"/>
    </row>
    <row r="174" spans="2:7" ht="19.95" customHeight="1" x14ac:dyDescent="0.45">
      <c r="D174" s="36"/>
      <c r="E174" s="106" t="s">
        <v>350</v>
      </c>
      <c r="F174" s="40"/>
      <c r="G174" s="39"/>
    </row>
    <row r="175" spans="2:7" ht="19.95" customHeight="1" x14ac:dyDescent="0.45">
      <c r="D175" s="41"/>
      <c r="E175" s="107" t="s">
        <v>351</v>
      </c>
      <c r="F175" s="42"/>
      <c r="G175" s="43"/>
    </row>
    <row r="176" spans="2:7" ht="19.95" customHeight="1" x14ac:dyDescent="0.45">
      <c r="B176" s="23">
        <f t="shared" ref="B176" si="29">B171+1</f>
        <v>34</v>
      </c>
      <c r="C176" s="24" t="str">
        <f t="shared" ref="C176" si="30">"ﾘｽﾄ!C"&amp;B176+2</f>
        <v>ﾘｽﾄ!C36</v>
      </c>
      <c r="D176" s="44" t="str">
        <f>IFERROR(VLOOKUP($B176,ﾘｽﾄ!A:B,2,FALSE),"")</f>
        <v>ソリューションサービス部</v>
      </c>
      <c r="E176" s="135" t="s">
        <v>187</v>
      </c>
      <c r="F176" s="46" t="str" cm="1">
        <f t="array" aca="1" ref="F176" ca="1">HYPERLINK(INDIRECT(C176),D176)</f>
        <v>ソリューションサービス部</v>
      </c>
      <c r="G176" s="45" t="s">
        <v>352</v>
      </c>
    </row>
    <row r="177" spans="2:7" ht="19.95" customHeight="1" x14ac:dyDescent="0.45">
      <c r="D177" s="36"/>
      <c r="E177" s="106" t="s">
        <v>353</v>
      </c>
      <c r="F177" s="40"/>
      <c r="G177" s="39" t="s">
        <v>354</v>
      </c>
    </row>
    <row r="178" spans="2:7" ht="19.95" customHeight="1" x14ac:dyDescent="0.45">
      <c r="D178" s="36"/>
      <c r="E178" s="106" t="s">
        <v>355</v>
      </c>
      <c r="F178" s="40"/>
      <c r="G178" s="39" t="s">
        <v>356</v>
      </c>
    </row>
    <row r="179" spans="2:7" ht="19.95" customHeight="1" x14ac:dyDescent="0.45">
      <c r="D179" s="36"/>
      <c r="E179" s="106" t="s">
        <v>357</v>
      </c>
      <c r="F179" s="40"/>
      <c r="G179" s="39"/>
    </row>
    <row r="180" spans="2:7" ht="19.95" customHeight="1" x14ac:dyDescent="0.45">
      <c r="D180" s="41"/>
      <c r="E180" s="107" t="s">
        <v>358</v>
      </c>
      <c r="F180" s="42"/>
      <c r="G180" s="43"/>
    </row>
    <row r="181" spans="2:7" ht="19.95" customHeight="1" x14ac:dyDescent="0.45">
      <c r="B181" s="23">
        <f t="shared" ref="B181" si="31">B176+1</f>
        <v>35</v>
      </c>
      <c r="C181" s="24" t="str">
        <f t="shared" ref="C181" si="32">"ﾘｽﾄ!C"&amp;B181+2</f>
        <v>ﾘｽﾄ!C37</v>
      </c>
      <c r="D181" s="44" t="str">
        <f>IFERROR(VLOOKUP($B181,ﾘｽﾄ!A:B,2,FALSE),"")</f>
        <v>ソリューション事業部</v>
      </c>
      <c r="E181" s="108"/>
      <c r="F181" s="46" t="str" cm="1">
        <f t="array" aca="1" ref="F181" ca="1">HYPERLINK(INDIRECT(C181),D181)</f>
        <v>ソリューション事業部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3">B181+1</f>
        <v>36</v>
      </c>
      <c r="C186" s="24" t="str">
        <f t="shared" ref="C186" si="34">"ﾘｽﾄ!C"&amp;B186+2</f>
        <v>ﾘｽﾄ!C38</v>
      </c>
      <c r="D186" s="44" t="str">
        <f>IFERROR(VLOOKUP($B186,ﾘｽﾄ!A:B,2,FALSE),"")</f>
        <v>東京本社マネジメント推進部</v>
      </c>
      <c r="E186" s="154" t="s">
        <v>359</v>
      </c>
      <c r="F186" s="46" t="str" cm="1">
        <f t="array" aca="1" ref="F186" ca="1">HYPERLINK(INDIRECT(C186),D186)</f>
        <v>東京本社マネジメント推進部</v>
      </c>
      <c r="G186" s="45"/>
    </row>
    <row r="187" spans="2:7" ht="19.95" customHeight="1" x14ac:dyDescent="0.45">
      <c r="D187" s="36"/>
      <c r="E187" s="154" t="s">
        <v>360</v>
      </c>
      <c r="F187" s="40"/>
      <c r="G187" s="39"/>
    </row>
    <row r="188" spans="2:7" ht="19.95" customHeight="1" x14ac:dyDescent="0.45">
      <c r="D188" s="36"/>
      <c r="E188" s="106" t="s">
        <v>361</v>
      </c>
      <c r="F188" s="40"/>
      <c r="G188" s="39"/>
    </row>
    <row r="189" spans="2:7" ht="19.95" customHeight="1" x14ac:dyDescent="0.45">
      <c r="D189" s="36"/>
      <c r="E189" s="106" t="s">
        <v>362</v>
      </c>
      <c r="F189" s="40"/>
      <c r="G189" s="39"/>
    </row>
    <row r="190" spans="2:7" ht="19.95" customHeight="1" x14ac:dyDescent="0.45">
      <c r="D190" s="41"/>
      <c r="E190" s="154" t="s">
        <v>363</v>
      </c>
      <c r="F190" s="42"/>
      <c r="G190" s="43"/>
    </row>
    <row r="191" spans="2:7" ht="19.95" customHeight="1" x14ac:dyDescent="0.45">
      <c r="B191" s="23">
        <f t="shared" ref="B191" si="35">B186+1</f>
        <v>37</v>
      </c>
      <c r="C191" s="24" t="str">
        <f t="shared" ref="C191" si="36">"ﾘｽﾄ!C"&amp;B191+2</f>
        <v>ﾘｽﾄ!C39</v>
      </c>
      <c r="D191" s="44" t="str">
        <f>IFERROR(VLOOKUP($B191,ﾘｽﾄ!A:B,2,FALSE),"")</f>
        <v>佐藤執行役員</v>
      </c>
      <c r="E191" s="108"/>
      <c r="F191" s="46" t="str" cm="1">
        <f t="array" aca="1" ref="F191" ca="1">HYPERLINK(INDIRECT(C191),D191)</f>
        <v>佐藤執行役員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7">B191+1</f>
        <v>38</v>
      </c>
      <c r="C196" s="24" t="str">
        <f t="shared" ref="C196" si="38">"ﾘｽﾄ!C"&amp;B196+2</f>
        <v>ﾘｽﾄ!C40</v>
      </c>
      <c r="D196" s="44" t="str">
        <f>IFERROR(VLOOKUP($B196,ﾘｽﾄ!A:B,2,FALSE),"")</f>
        <v>中島常務執行役員</v>
      </c>
      <c r="E196" s="108" t="s">
        <v>364</v>
      </c>
      <c r="F196" s="46" t="str" cm="1">
        <f t="array" aca="1" ref="F196" ca="1">HYPERLINK(INDIRECT(C196),D196)</f>
        <v>中島常務執行役員</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39">B196+1</f>
        <v>39</v>
      </c>
      <c r="C201" s="24" t="str">
        <f t="shared" ref="C201" si="40">"ﾘｽﾄ!C"&amp;B201+2</f>
        <v>ﾘｽﾄ!C41</v>
      </c>
      <c r="D201" s="44" t="str">
        <f>IFERROR(VLOOKUP($B201,ﾘｽﾄ!A:B,2,FALSE),"")</f>
        <v>河野取締役</v>
      </c>
      <c r="E201" s="108" t="s">
        <v>365</v>
      </c>
      <c r="F201" s="46" t="str" cm="1">
        <f t="array" aca="1" ref="F201" ca="1">HYPERLINK(INDIRECT(C201),D201)</f>
        <v>河野取締役</v>
      </c>
      <c r="G201" s="45"/>
    </row>
    <row r="202" spans="2:7" ht="19.95" customHeight="1" x14ac:dyDescent="0.45">
      <c r="D202" s="36"/>
      <c r="E202" s="106" t="s">
        <v>366</v>
      </c>
      <c r="F202" s="40"/>
      <c r="G202" s="39"/>
    </row>
    <row r="203" spans="2:7" ht="19.95" customHeight="1" x14ac:dyDescent="0.45">
      <c r="D203" s="36"/>
      <c r="E203" s="106" t="s">
        <v>367</v>
      </c>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1">B201+1</f>
        <v>40</v>
      </c>
      <c r="C206" s="24" t="str">
        <f t="shared" ref="C206" si="42">"ﾘｽﾄ!C"&amp;B206+2</f>
        <v>ﾘｽﾄ!C42</v>
      </c>
      <c r="D206" s="44" t="str">
        <f>IFERROR(VLOOKUP($B206,ﾘｽﾄ!A:B,2,FALSE),"")</f>
        <v>安東常務</v>
      </c>
      <c r="E206" s="108"/>
      <c r="F206" s="46" t="str" cm="1">
        <f t="array" aca="1" ref="F206" ca="1">HYPERLINK(INDIRECT(C206),D206)</f>
        <v>安東常務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3">B206+1</f>
        <v>41</v>
      </c>
      <c r="C211" s="24" t="str">
        <f t="shared" ref="C211" si="44">"ﾘｽﾄ!C"&amp;B211+2</f>
        <v>ﾘｽﾄ!C43</v>
      </c>
      <c r="D211" s="44" t="str">
        <f>IFERROR(VLOOKUP($B211,ﾘｽﾄ!A:B,2,FALSE),"")</f>
        <v>岡田常務</v>
      </c>
      <c r="E211" s="108"/>
      <c r="F211" s="46" t="str" cm="1">
        <f t="array" aca="1" ref="F211" ca="1">HYPERLINK(INDIRECT(C211),D211)</f>
        <v>岡田常務</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x14ac:dyDescent="0.45">
      <c r="D215" s="47"/>
      <c r="E215" s="107"/>
      <c r="F215" s="42"/>
      <c r="G215" s="43"/>
    </row>
    <row r="216" spans="2:7" ht="19.95" customHeight="1" x14ac:dyDescent="0.45">
      <c r="B216" s="23">
        <f t="shared" ref="B216" si="45">B211+1</f>
        <v>42</v>
      </c>
      <c r="C216" s="24" t="str">
        <f t="shared" ref="C216" si="46">"ﾘｽﾄ!C"&amp;B216+2</f>
        <v>ﾘｽﾄ!C44</v>
      </c>
      <c r="D216" s="44" t="str">
        <f>IFERROR(VLOOKUP($B216,ﾘｽﾄ!A:B,2,FALSE),"")</f>
        <v>加藤社長</v>
      </c>
      <c r="E216" s="108" t="s">
        <v>368</v>
      </c>
      <c r="F216" s="46" t="str" cm="1">
        <f t="array" aca="1" ref="F216" ca="1">HYPERLINK(INDIRECT(C216),D216)</f>
        <v>加藤社長</v>
      </c>
      <c r="G216" s="45"/>
    </row>
    <row r="217" spans="2:7" ht="19.95" customHeight="1" x14ac:dyDescent="0.45">
      <c r="D217" s="36"/>
      <c r="E217" s="106" t="s">
        <v>369</v>
      </c>
      <c r="F217" s="40"/>
      <c r="G217" s="39"/>
    </row>
    <row r="218" spans="2:7" ht="19.95" customHeight="1" x14ac:dyDescent="0.45">
      <c r="D218" s="36"/>
      <c r="E218" s="182" t="s">
        <v>370</v>
      </c>
      <c r="F218" s="40"/>
      <c r="G218" s="39"/>
    </row>
    <row r="219" spans="2:7" ht="19.95" customHeight="1" x14ac:dyDescent="0.45">
      <c r="D219" s="36"/>
      <c r="E219" s="182" t="s">
        <v>371</v>
      </c>
      <c r="F219" s="40"/>
      <c r="G219" s="39"/>
    </row>
    <row r="220" spans="2:7" ht="19.95" customHeight="1" thickBot="1" x14ac:dyDescent="0.5">
      <c r="D220" s="48"/>
      <c r="E220" s="109" t="s">
        <v>372</v>
      </c>
      <c r="F220" s="49"/>
      <c r="G220" s="50"/>
    </row>
    <row r="221" spans="2:7" x14ac:dyDescent="0.45">
      <c r="D221" s="111"/>
      <c r="E221" s="112"/>
      <c r="F221" s="113"/>
      <c r="G221" s="112"/>
    </row>
  </sheetData>
  <sheetProtection algorithmName="SHA-512" hashValue="OaUwv7MoPWRp4d/PuuW87/Hi6GgB6lcjYeTHXdAVTUGjpS7l4PHHlAsR8PdPFFVJb9YgwM+5NM4zcM1Pq9wcMg==" saltValue="A3ecIjI2dztFNzRUVix/pg==" spinCount="100000" sheet="1" objects="1" scenarios="1"/>
  <phoneticPr fontId="1"/>
  <hyperlinks>
    <hyperlink ref="F1" location="ﾘｽﾄ!A1" display="格納先一覧はこちら" xr:uid="{42E090DE-1F2E-48CB-9E78-C34BC0ACB2A8}"/>
    <hyperlink ref="G113" r:id="rId1" xr:uid="{ED0BE945-2673-4F3D-B383-F16B20DEC0CD}"/>
    <hyperlink ref="E28" r:id="rId2" display="・自治体等入札などの資格要件に「個人情報漏えいがないこと」の記載がある場合がある、要確認ください。" xr:uid="{808D61E0-42B4-4D37-A236-06C43E919D0F}"/>
  </hyperlinks>
  <printOptions horizontalCentered="1"/>
  <pageMargins left="0" right="0" top="0" bottom="0" header="0.31496062992125984" footer="0.31496062992125984"/>
  <pageSetup paperSize="8" scale="72" fitToHeight="3" orientation="portrait" horizontalDpi="1200" verticalDpi="1200" r:id="rId3"/>
  <rowBreaks count="2" manualBreakCount="2">
    <brk id="83" min="3" max="6" man="1"/>
    <brk id="149" min="3"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D512-0DD0-423A-B0C0-1ECD36241B0B}">
  <sheetPr codeName="Sheet5">
    <tabColor rgb="FFFFFF00"/>
  </sheetPr>
  <dimension ref="A1:G218"/>
  <sheetViews>
    <sheetView showGridLines="0" zoomScale="80" zoomScaleNormal="80" workbookViewId="0">
      <pane ySplit="4" topLeftCell="A100" activePane="bottomLeft" state="frozen"/>
      <selection activeCell="D1" sqref="D1"/>
      <selection pane="bottomLeft" activeCell="J106" sqref="J106"/>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v>
      </c>
      <c r="E1" s="30" t="s">
        <v>7</v>
      </c>
      <c r="F1" s="51" t="s">
        <v>8</v>
      </c>
      <c r="G1" s="52" t="s">
        <v>9</v>
      </c>
    </row>
    <row r="2" spans="1:7" x14ac:dyDescent="0.45">
      <c r="A2" s="26" cm="1">
        <f t="array" aca="1" ref="A2" ca="1">VALUE(MID(CELL("filename",A2),FIND("]",CELL("filename",A2))+1,99))</f>
        <v>3</v>
      </c>
      <c r="B2" s="27"/>
      <c r="C2" s="28"/>
      <c r="D2" s="95" t="s">
        <v>10</v>
      </c>
      <c r="G2" s="101" t="s">
        <v>11</v>
      </c>
    </row>
    <row r="3" spans="1:7" ht="24.6" customHeight="1" thickBot="1" x14ac:dyDescent="0.5">
      <c r="A3" s="26"/>
      <c r="D3" s="93">
        <f>IFERROR(VLOOKUP($A$1,目次!$C$5:$I$100,5,FALSE),"")</f>
        <v>45401</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373</v>
      </c>
      <c r="F5" s="37" t="str" cm="1">
        <f t="array" aca="1" ref="F5" ca="1">HYPERLINK(INDIRECT(C5),D5)</f>
        <v>総務部</v>
      </c>
      <c r="G5" s="38"/>
    </row>
    <row r="6" spans="1:7" ht="19.95" customHeight="1" x14ac:dyDescent="0.45">
      <c r="D6" s="36"/>
      <c r="E6" s="177" t="s">
        <v>374</v>
      </c>
      <c r="F6" s="37"/>
      <c r="G6" s="39"/>
    </row>
    <row r="7" spans="1:7" ht="19.95" customHeight="1" x14ac:dyDescent="0.45">
      <c r="D7" s="36"/>
      <c r="E7" s="106" t="s">
        <v>375</v>
      </c>
      <c r="F7" s="40"/>
      <c r="G7" s="39"/>
    </row>
    <row r="8" spans="1:7" ht="19.95" customHeight="1" x14ac:dyDescent="0.45">
      <c r="D8" s="36"/>
      <c r="E8" s="106" t="s">
        <v>376</v>
      </c>
      <c r="F8" s="40"/>
      <c r="G8" s="39"/>
    </row>
    <row r="9" spans="1:7" ht="19.95" customHeight="1" x14ac:dyDescent="0.45">
      <c r="D9" s="41"/>
      <c r="E9" s="107" t="s">
        <v>377</v>
      </c>
      <c r="F9" s="42"/>
      <c r="G9" s="43"/>
    </row>
    <row r="10" spans="1:7" ht="19.95" customHeight="1" x14ac:dyDescent="0.45">
      <c r="B10" s="23">
        <f>B5+1</f>
        <v>2</v>
      </c>
      <c r="C10" s="24" t="str">
        <f>"ﾘｽﾄ!C"&amp;B10+2</f>
        <v>ﾘｽﾄ!C4</v>
      </c>
      <c r="D10" s="44" t="str">
        <f>IFERROR(VLOOKUP($B10,ﾘｽﾄ!A:B,2,FALSE),"")</f>
        <v>人事部</v>
      </c>
      <c r="E10" s="178" t="s">
        <v>378</v>
      </c>
      <c r="F10" s="37" t="str" cm="1">
        <f t="array" aca="1" ref="F10" ca="1">HYPERLINK(INDIRECT(C10),D10)</f>
        <v>人事部</v>
      </c>
      <c r="G10" s="45"/>
    </row>
    <row r="11" spans="1:7" ht="19.95" customHeight="1" x14ac:dyDescent="0.45">
      <c r="D11" s="36"/>
      <c r="E11" s="179" t="s">
        <v>379</v>
      </c>
      <c r="F11" s="37"/>
      <c r="G11" s="39"/>
    </row>
    <row r="12" spans="1:7" ht="19.95" customHeight="1" x14ac:dyDescent="0.45">
      <c r="D12" s="36"/>
      <c r="E12" s="179" t="s">
        <v>380</v>
      </c>
      <c r="F12" s="37"/>
      <c r="G12" s="39"/>
    </row>
    <row r="13" spans="1:7" ht="19.95" customHeight="1" x14ac:dyDescent="0.45">
      <c r="D13" s="36"/>
      <c r="E13" s="193" t="s">
        <v>381</v>
      </c>
      <c r="F13" s="40"/>
      <c r="G13" s="39"/>
    </row>
    <row r="14" spans="1:7" ht="19.95" customHeight="1" x14ac:dyDescent="0.45">
      <c r="D14" s="41"/>
      <c r="E14" s="194" t="s">
        <v>382</v>
      </c>
      <c r="F14" s="42"/>
      <c r="G14" s="43"/>
    </row>
    <row r="15" spans="1:7" ht="19.95" customHeight="1" x14ac:dyDescent="0.45">
      <c r="B15" s="23">
        <f>B10+1</f>
        <v>3</v>
      </c>
      <c r="C15" s="24" t="str">
        <f>"ﾘｽﾄ!C"&amp;B15+2</f>
        <v>ﾘｽﾄ!C5</v>
      </c>
      <c r="D15" s="44" t="str">
        <f>IFERROR(VLOOKUP($B15,ﾘｽﾄ!A:B,2,FALSE),"")</f>
        <v>総務・人事統括部</v>
      </c>
      <c r="E15" s="108" t="s">
        <v>218</v>
      </c>
      <c r="F15" s="37" t="str" cm="1">
        <f t="array" aca="1" ref="F15" ca="1">HYPERLINK(INDIRECT(C15),D15)</f>
        <v>総務・人事統括部</v>
      </c>
      <c r="G15" s="45"/>
    </row>
    <row r="16" spans="1:7" ht="19.95" customHeight="1" x14ac:dyDescent="0.45">
      <c r="D16" s="36"/>
      <c r="E16" s="106" t="s">
        <v>383</v>
      </c>
      <c r="F16" s="37"/>
      <c r="G16" s="39"/>
    </row>
    <row r="17" spans="2:7" ht="19.95" customHeight="1" x14ac:dyDescent="0.45">
      <c r="D17" s="36"/>
      <c r="E17" s="106" t="s">
        <v>384</v>
      </c>
      <c r="F17" s="40"/>
      <c r="G17" s="39"/>
    </row>
    <row r="18" spans="2:7" ht="19.95" customHeight="1" x14ac:dyDescent="0.45">
      <c r="D18" s="36"/>
      <c r="E18" s="106" t="s">
        <v>385</v>
      </c>
      <c r="F18" s="40"/>
      <c r="G18" s="39"/>
    </row>
    <row r="19" spans="2:7" ht="19.95" customHeight="1" x14ac:dyDescent="0.45">
      <c r="D19" s="41"/>
      <c r="E19" s="107" t="s">
        <v>386</v>
      </c>
      <c r="F19" s="42"/>
      <c r="G19" s="43"/>
    </row>
    <row r="20" spans="2:7" ht="19.95" customHeight="1" x14ac:dyDescent="0.45">
      <c r="B20" s="23">
        <f>B15+1</f>
        <v>4</v>
      </c>
      <c r="C20" s="24" t="str">
        <f>"ﾘｽﾄ!C"&amp;B20+2</f>
        <v>ﾘｽﾄ!C6</v>
      </c>
      <c r="D20" s="44" t="str">
        <f>IFERROR(VLOOKUP($B20,ﾘｽﾄ!A:B,2,FALSE),"")</f>
        <v>経営戦略室</v>
      </c>
      <c r="E20" s="108" t="s">
        <v>387</v>
      </c>
      <c r="F20" s="37" t="str" cm="1">
        <f t="array" aca="1" ref="F20" ca="1">HYPERLINK(INDIRECT(C20),D20)</f>
        <v>経営戦略室</v>
      </c>
      <c r="G20" s="189"/>
    </row>
    <row r="21" spans="2:7" ht="19.95" customHeight="1" x14ac:dyDescent="0.45">
      <c r="D21" s="36"/>
      <c r="E21" s="106" t="s">
        <v>388</v>
      </c>
      <c r="F21" s="40"/>
      <c r="G21" s="190"/>
    </row>
    <row r="22" spans="2:7" ht="19.95" customHeight="1" x14ac:dyDescent="0.45">
      <c r="D22" s="36"/>
      <c r="E22" s="106" t="s">
        <v>389</v>
      </c>
      <c r="F22" s="40"/>
      <c r="G22" s="191" t="s">
        <v>390</v>
      </c>
    </row>
    <row r="23" spans="2:7" ht="19.95" customHeight="1" x14ac:dyDescent="0.45">
      <c r="D23" s="36"/>
      <c r="E23" s="106" t="s">
        <v>391</v>
      </c>
      <c r="F23" s="40"/>
      <c r="G23" s="191"/>
    </row>
    <row r="24" spans="2:7" ht="19.95" customHeight="1" x14ac:dyDescent="0.45">
      <c r="D24" s="41"/>
      <c r="E24" s="107"/>
      <c r="F24" s="42"/>
      <c r="G24" s="192"/>
    </row>
    <row r="25" spans="2:7" ht="19.95" customHeight="1" x14ac:dyDescent="0.45">
      <c r="B25" s="23">
        <f>B20+1</f>
        <v>5</v>
      </c>
      <c r="C25" s="24" t="str">
        <f>"ﾘｽﾄ!C"&amp;B25+2</f>
        <v>ﾘｽﾄ!C7</v>
      </c>
      <c r="D25" s="44" t="str">
        <f>IFERROR(VLOOKUP($B25,ﾘｽﾄ!A:B,2,FALSE),"")</f>
        <v>経営管理部</v>
      </c>
      <c r="E25" s="108" t="s">
        <v>392</v>
      </c>
      <c r="F25" s="37" t="str" cm="1">
        <f t="array" aca="1" ref="F25" ca="1">HYPERLINK(INDIRECT(C25),D25)</f>
        <v>経営管理部</v>
      </c>
      <c r="G25" s="191"/>
    </row>
    <row r="26" spans="2:7" ht="19.95" customHeight="1" x14ac:dyDescent="0.45">
      <c r="D26" s="36"/>
      <c r="E26" s="106" t="s">
        <v>393</v>
      </c>
      <c r="F26" s="40"/>
      <c r="G26" s="190"/>
    </row>
    <row r="27" spans="2:7" ht="19.95" customHeight="1" x14ac:dyDescent="0.45">
      <c r="D27" s="36"/>
      <c r="E27" s="106" t="s">
        <v>394</v>
      </c>
      <c r="F27" s="40"/>
      <c r="G27" s="190"/>
    </row>
    <row r="28" spans="2:7" ht="19.95" customHeight="1" x14ac:dyDescent="0.45">
      <c r="D28" s="36"/>
      <c r="E28" s="106" t="s">
        <v>395</v>
      </c>
      <c r="F28" s="40"/>
      <c r="G28" s="190"/>
    </row>
    <row r="29" spans="2:7" ht="19.95" customHeight="1" x14ac:dyDescent="0.45">
      <c r="D29" s="41"/>
      <c r="E29" s="186" t="s">
        <v>396</v>
      </c>
      <c r="F29" s="42"/>
      <c r="G29" s="188"/>
    </row>
    <row r="30" spans="2:7" ht="19.95" customHeight="1" x14ac:dyDescent="0.45">
      <c r="B30" s="23">
        <f>B25+1</f>
        <v>6</v>
      </c>
      <c r="C30" s="24" t="str">
        <f>"ﾘｽﾄ!C"&amp;B30+2</f>
        <v>ﾘｽﾄ!C8</v>
      </c>
      <c r="D30" s="44" t="str">
        <f>IFERROR(VLOOKUP($B30,ﾘｽﾄ!A:B,2,FALSE),"")</f>
        <v>財務部</v>
      </c>
      <c r="E30" s="156" t="s">
        <v>397</v>
      </c>
      <c r="F30" s="37" t="str" cm="1">
        <f t="array" aca="1" ref="F30" ca="1">HYPERLINK(INDIRECT(C30),D30)</f>
        <v>財務部</v>
      </c>
      <c r="G30" s="45"/>
    </row>
    <row r="31" spans="2:7" ht="19.95" customHeight="1" x14ac:dyDescent="0.45">
      <c r="D31" s="36"/>
      <c r="E31" s="157" t="s">
        <v>234</v>
      </c>
      <c r="F31" s="37"/>
      <c r="G31" s="39"/>
    </row>
    <row r="32" spans="2:7" ht="19.95" customHeight="1" x14ac:dyDescent="0.45">
      <c r="D32" s="36"/>
      <c r="E32" s="156" t="s">
        <v>398</v>
      </c>
      <c r="F32" s="37"/>
      <c r="G32" s="162" t="s">
        <v>399</v>
      </c>
    </row>
    <row r="33" spans="1:7" ht="19.95" customHeight="1" x14ac:dyDescent="0.45">
      <c r="A33" s="156"/>
      <c r="D33" s="36"/>
      <c r="E33" s="156" t="s">
        <v>400</v>
      </c>
      <c r="F33" s="40"/>
      <c r="G33" s="39"/>
    </row>
    <row r="34" spans="1:7" ht="19.95" customHeight="1" x14ac:dyDescent="0.45">
      <c r="A34" s="156"/>
      <c r="D34" s="41"/>
      <c r="E34" s="158" t="s">
        <v>401</v>
      </c>
      <c r="F34" s="42"/>
      <c r="G34" s="43"/>
    </row>
    <row r="35" spans="1:7" ht="19.95" customHeight="1" x14ac:dyDescent="0.45">
      <c r="A35" s="156"/>
      <c r="B35" s="23">
        <f>B30+1</f>
        <v>7</v>
      </c>
      <c r="C35" s="24" t="str">
        <f>"ﾘｽﾄ!C"&amp;B35+2</f>
        <v>ﾘｽﾄ!C9</v>
      </c>
      <c r="D35" s="44" t="str">
        <f>IFERROR(VLOOKUP($B35,ﾘｽﾄ!A:B,2,FALSE),"")</f>
        <v>経営戦略・管理・財務統括部</v>
      </c>
      <c r="E35" s="108" t="s">
        <v>402</v>
      </c>
      <c r="F35" s="37" t="str" cm="1">
        <f t="array" aca="1" ref="F35" ca="1">HYPERLINK(INDIRECT(C35),D35)</f>
        <v>経営戦略・管理・財務統括部</v>
      </c>
      <c r="G35" s="45"/>
    </row>
    <row r="36" spans="1:7" ht="19.95" customHeight="1" x14ac:dyDescent="0.45">
      <c r="A36" s="156"/>
      <c r="D36" s="36"/>
      <c r="E36" s="106" t="s">
        <v>403</v>
      </c>
      <c r="F36" s="40"/>
      <c r="G36" s="39"/>
    </row>
    <row r="37" spans="1:7" ht="19.95" customHeight="1" x14ac:dyDescent="0.45">
      <c r="A37" s="156"/>
      <c r="D37" s="36"/>
      <c r="E37" s="182" t="s">
        <v>404</v>
      </c>
      <c r="F37" s="40"/>
      <c r="G37" s="39"/>
    </row>
    <row r="38" spans="1:7" ht="19.95" customHeight="1" x14ac:dyDescent="0.45">
      <c r="A38" s="156"/>
      <c r="D38" s="36"/>
      <c r="E38" s="106" t="s">
        <v>405</v>
      </c>
      <c r="F38" s="40"/>
      <c r="G38" s="39"/>
    </row>
    <row r="39" spans="1:7" ht="19.95" customHeight="1" x14ac:dyDescent="0.45">
      <c r="D39" s="41"/>
      <c r="E39" s="107" t="s">
        <v>406</v>
      </c>
      <c r="F39" s="42"/>
      <c r="G39" s="43"/>
    </row>
    <row r="40" spans="1:7" ht="19.95" customHeight="1" x14ac:dyDescent="0.45">
      <c r="B40" s="23">
        <f>B35+1</f>
        <v>8</v>
      </c>
      <c r="C40" s="24" t="str">
        <f>"ﾘｽﾄ!C"&amp;B40+2</f>
        <v>ﾘｽﾄ!C10</v>
      </c>
      <c r="D40" s="44" t="str">
        <f>IFERROR(VLOOKUP($B40,ﾘｽﾄ!A:B,2,FALSE),"")</f>
        <v>公共第1プロデュース部</v>
      </c>
      <c r="E40" s="108" t="s">
        <v>407</v>
      </c>
      <c r="F40" s="37" t="str" cm="1">
        <f t="array" aca="1" ref="F40" ca="1">HYPERLINK(INDIRECT(C40),D40)</f>
        <v>公共第1プロデュース部</v>
      </c>
      <c r="G40" s="45"/>
    </row>
    <row r="41" spans="1:7" ht="19.95" customHeight="1" x14ac:dyDescent="0.45">
      <c r="D41" s="36"/>
      <c r="E41" s="106" t="s">
        <v>408</v>
      </c>
      <c r="F41" s="40"/>
      <c r="G41" s="39"/>
    </row>
    <row r="42" spans="1:7" ht="19.95" customHeight="1" x14ac:dyDescent="0.45">
      <c r="D42" s="36"/>
      <c r="E42" s="106" t="s">
        <v>409</v>
      </c>
      <c r="F42" s="40"/>
      <c r="G42" s="39"/>
    </row>
    <row r="43" spans="1:7" ht="19.95" customHeight="1" x14ac:dyDescent="0.45">
      <c r="D43" s="36"/>
      <c r="E43" s="25" t="s">
        <v>410</v>
      </c>
      <c r="F43" s="40"/>
      <c r="G43" s="39"/>
    </row>
    <row r="44" spans="1:7" ht="19.95" customHeight="1" x14ac:dyDescent="0.45">
      <c r="D44" s="41"/>
      <c r="E44" s="106" t="s">
        <v>411</v>
      </c>
      <c r="F44" s="42"/>
      <c r="G44" s="43"/>
    </row>
    <row r="45" spans="1:7" ht="19.95" customHeight="1" x14ac:dyDescent="0.45">
      <c r="B45" s="23">
        <f>B40+1</f>
        <v>9</v>
      </c>
      <c r="C45" s="24" t="str">
        <f>"ﾘｽﾄ!C"&amp;B45+2</f>
        <v>ﾘｽﾄ!C11</v>
      </c>
      <c r="D45" s="44" t="str">
        <f>IFERROR(VLOOKUP($B45,ﾘｽﾄ!A:B,2,FALSE),"")</f>
        <v>公共第2プロデュース部</v>
      </c>
      <c r="E45" s="171" t="s">
        <v>412</v>
      </c>
      <c r="F45" s="46" t="str" cm="1">
        <f t="array" aca="1" ref="F45" ca="1">HYPERLINK(INDIRECT(C45),D45)</f>
        <v>公共第2プロデュース部</v>
      </c>
      <c r="G45" s="45" t="s">
        <v>413</v>
      </c>
    </row>
    <row r="46" spans="1:7" ht="19.95" customHeight="1" x14ac:dyDescent="0.45">
      <c r="D46" s="36"/>
      <c r="E46" s="172" t="s">
        <v>414</v>
      </c>
      <c r="F46" s="40"/>
      <c r="G46" s="39" t="s">
        <v>415</v>
      </c>
    </row>
    <row r="47" spans="1:7" ht="19.95" customHeight="1" x14ac:dyDescent="0.45">
      <c r="D47" s="36"/>
      <c r="E47" s="172" t="s">
        <v>416</v>
      </c>
      <c r="F47" s="40"/>
      <c r="G47" s="39"/>
    </row>
    <row r="48" spans="1:7" ht="19.95" customHeight="1" x14ac:dyDescent="0.45">
      <c r="D48" s="36"/>
      <c r="E48" s="172" t="s">
        <v>417</v>
      </c>
      <c r="F48" s="40"/>
      <c r="G48" s="39"/>
    </row>
    <row r="49" spans="2:7" ht="19.95" customHeight="1" x14ac:dyDescent="0.45">
      <c r="D49" s="41"/>
      <c r="E49" s="173" t="s">
        <v>418</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420</v>
      </c>
      <c r="F51" s="40"/>
      <c r="G51" s="39"/>
    </row>
    <row r="52" spans="2:7" ht="19.95" customHeight="1" x14ac:dyDescent="0.45">
      <c r="D52" s="36"/>
      <c r="E52" s="106" t="s">
        <v>421</v>
      </c>
      <c r="F52" s="40"/>
      <c r="G52" s="39"/>
    </row>
    <row r="53" spans="2:7" ht="19.95" customHeight="1" x14ac:dyDescent="0.45">
      <c r="D53" s="36"/>
      <c r="E53" s="106" t="s">
        <v>422</v>
      </c>
      <c r="F53" s="40"/>
      <c r="G53" s="39"/>
    </row>
    <row r="54" spans="2:7" ht="19.95" customHeight="1" x14ac:dyDescent="0.45">
      <c r="D54" s="41"/>
      <c r="E54" s="107" t="s">
        <v>423</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t="s">
        <v>424</v>
      </c>
      <c r="F55" s="46" t="str" cm="1">
        <f t="array" aca="1" ref="F55" ca="1">HYPERLINK(INDIRECT(C55),D55)</f>
        <v>社会インフラサービス部</v>
      </c>
      <c r="G55" s="45"/>
    </row>
    <row r="56" spans="2:7" ht="19.95" customHeight="1" x14ac:dyDescent="0.45">
      <c r="D56" s="36"/>
      <c r="E56" s="106" t="s">
        <v>425</v>
      </c>
      <c r="F56" s="40"/>
      <c r="G56" s="39"/>
    </row>
    <row r="57" spans="2:7" ht="19.95" customHeight="1" x14ac:dyDescent="0.45">
      <c r="D57" s="36"/>
      <c r="E57" s="174" t="s">
        <v>426</v>
      </c>
      <c r="F57" s="40"/>
      <c r="G57" s="39"/>
    </row>
    <row r="58" spans="2:7" ht="19.95" customHeight="1" x14ac:dyDescent="0.45">
      <c r="D58" s="36"/>
      <c r="E58" s="106" t="s">
        <v>427</v>
      </c>
      <c r="F58" s="40"/>
      <c r="G58" s="39"/>
    </row>
    <row r="59" spans="2:7" ht="19.95" customHeight="1" x14ac:dyDescent="0.45">
      <c r="D59" s="36"/>
      <c r="E59" s="106" t="s">
        <v>428</v>
      </c>
      <c r="F59" s="40"/>
      <c r="G59" s="39"/>
    </row>
    <row r="60" spans="2:7" ht="19.95" customHeight="1" x14ac:dyDescent="0.45">
      <c r="D60" s="41"/>
      <c r="E60" s="107" t="s">
        <v>429</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430</v>
      </c>
      <c r="F66" s="46" t="str" cm="1">
        <f t="array" aca="1" ref="F66" ca="1">HYPERLINK(INDIRECT(C66),D66)</f>
        <v>ITサービスマネジメント部</v>
      </c>
      <c r="G66" s="45"/>
    </row>
    <row r="67" spans="2:7" ht="19.95" customHeight="1" x14ac:dyDescent="0.45">
      <c r="D67" s="36"/>
      <c r="E67" s="140" t="s">
        <v>431</v>
      </c>
      <c r="F67" s="40"/>
      <c r="G67" s="39"/>
    </row>
    <row r="68" spans="2:7" ht="19.95" customHeight="1" x14ac:dyDescent="0.45">
      <c r="D68" s="36"/>
      <c r="E68" s="143" t="s">
        <v>432</v>
      </c>
      <c r="F68" s="40"/>
      <c r="G68" s="39"/>
    </row>
    <row r="69" spans="2:7" ht="19.95" customHeight="1" x14ac:dyDescent="0.45">
      <c r="D69" s="36"/>
      <c r="E69" s="140" t="s">
        <v>433</v>
      </c>
      <c r="F69" s="40"/>
      <c r="G69" s="39"/>
    </row>
    <row r="70" spans="2:7" ht="19.95" customHeight="1" x14ac:dyDescent="0.45">
      <c r="D70" s="41"/>
      <c r="E70" s="187" t="s">
        <v>434</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435</v>
      </c>
      <c r="F71" s="46" t="str" cm="1">
        <f t="array" aca="1" ref="F71" ca="1">HYPERLINK(INDIRECT(C71),D71)</f>
        <v>標準化・ガバメントクラウド推進部</v>
      </c>
      <c r="G71" s="45"/>
    </row>
    <row r="72" spans="2:7" ht="19.95" customHeight="1" x14ac:dyDescent="0.45">
      <c r="D72" s="36"/>
      <c r="E72" s="106" t="s">
        <v>436</v>
      </c>
      <c r="F72" s="40"/>
      <c r="G72" s="39"/>
    </row>
    <row r="73" spans="2:7" ht="19.95" customHeight="1" x14ac:dyDescent="0.45">
      <c r="D73" s="36"/>
      <c r="E73" s="106" t="s">
        <v>437</v>
      </c>
      <c r="F73" s="40"/>
      <c r="G73" s="39"/>
    </row>
    <row r="74" spans="2:7" ht="19.95" customHeight="1" x14ac:dyDescent="0.45">
      <c r="D74" s="36"/>
      <c r="E74" s="106" t="s">
        <v>438</v>
      </c>
      <c r="F74" s="40"/>
      <c r="G74" s="39"/>
    </row>
    <row r="75" spans="2:7" ht="19.95" customHeight="1" x14ac:dyDescent="0.45">
      <c r="D75" s="41"/>
      <c r="E75" s="107" t="s">
        <v>439</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06" t="s">
        <v>440</v>
      </c>
      <c r="F77" s="40"/>
      <c r="G77" s="39"/>
    </row>
    <row r="78" spans="2:7" ht="19.95" customHeight="1" x14ac:dyDescent="0.45">
      <c r="D78" s="36"/>
      <c r="E78" s="106" t="s">
        <v>102</v>
      </c>
      <c r="F78" s="40"/>
      <c r="G78" s="39"/>
    </row>
    <row r="79" spans="2:7" ht="19.95" customHeight="1" x14ac:dyDescent="0.45">
      <c r="D79" s="36"/>
      <c r="E79" s="106" t="s">
        <v>441</v>
      </c>
      <c r="F79" s="40"/>
      <c r="G79" s="39"/>
    </row>
    <row r="80" spans="2:7" ht="19.95" customHeight="1" x14ac:dyDescent="0.45">
      <c r="D80" s="41"/>
      <c r="E80" s="106" t="s">
        <v>442</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08" t="s">
        <v>443</v>
      </c>
      <c r="F81" s="46" t="str" cm="1">
        <f t="array" aca="1" ref="F81" ca="1">HYPERLINK(INDIRECT(C81),D81)</f>
        <v>DXビジネスプロデュース部</v>
      </c>
      <c r="G81" s="45"/>
    </row>
    <row r="82" spans="2:7" ht="19.95" customHeight="1" x14ac:dyDescent="0.45">
      <c r="D82" s="36"/>
      <c r="E82" s="106" t="s">
        <v>444</v>
      </c>
      <c r="F82" s="40"/>
      <c r="G82" s="39"/>
    </row>
    <row r="83" spans="2:7" ht="19.95" customHeight="1" x14ac:dyDescent="0.45">
      <c r="D83" s="36"/>
      <c r="E83" s="106" t="s">
        <v>445</v>
      </c>
      <c r="F83" s="40"/>
      <c r="G83" s="39"/>
    </row>
    <row r="84" spans="2:7" ht="19.95" customHeight="1" x14ac:dyDescent="0.45">
      <c r="D84" s="36"/>
      <c r="E84" s="106" t="s">
        <v>446</v>
      </c>
      <c r="F84" s="40"/>
      <c r="G84" s="39"/>
    </row>
    <row r="85" spans="2:7" ht="19.95" customHeight="1" x14ac:dyDescent="0.45">
      <c r="D85" s="41"/>
      <c r="E85" s="107" t="s">
        <v>447</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183" t="s">
        <v>448</v>
      </c>
      <c r="F86" s="46" t="str" cm="1">
        <f t="array" aca="1" ref="F86" ca="1">HYPERLINK(INDIRECT(C86),D86)</f>
        <v>九州ビジネスプロデュース部</v>
      </c>
      <c r="G86" s="45"/>
    </row>
    <row r="87" spans="2:7" ht="19.95" customHeight="1" x14ac:dyDescent="0.45">
      <c r="D87" s="36"/>
      <c r="E87" s="169" t="s">
        <v>449</v>
      </c>
      <c r="F87" s="40"/>
      <c r="G87" s="39"/>
    </row>
    <row r="88" spans="2:7" ht="19.95" customHeight="1" x14ac:dyDescent="0.45">
      <c r="D88" s="36"/>
      <c r="E88" s="169" t="s">
        <v>450</v>
      </c>
      <c r="F88" s="40"/>
      <c r="G88" s="39"/>
    </row>
    <row r="89" spans="2:7" ht="19.95" customHeight="1" x14ac:dyDescent="0.45">
      <c r="D89" s="36"/>
      <c r="E89" s="169" t="s">
        <v>451</v>
      </c>
      <c r="F89" s="40"/>
      <c r="G89" s="39"/>
    </row>
    <row r="90" spans="2:7" ht="19.95" customHeight="1" x14ac:dyDescent="0.45">
      <c r="D90" s="41"/>
      <c r="E90" s="184" t="s">
        <v>452</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288</v>
      </c>
      <c r="F91" s="46" t="str" cm="1">
        <f t="array" aca="1" ref="F91" ca="1">HYPERLINK(INDIRECT(C91),D91)</f>
        <v>DXビジネスソリューション部</v>
      </c>
      <c r="G91" s="45"/>
    </row>
    <row r="92" spans="2:7" ht="19.95" customHeight="1" x14ac:dyDescent="0.45">
      <c r="D92" s="36"/>
      <c r="E92" s="106" t="s">
        <v>453</v>
      </c>
      <c r="F92" s="40"/>
      <c r="G92" s="39"/>
    </row>
    <row r="93" spans="2:7" ht="19.95" customHeight="1" x14ac:dyDescent="0.45">
      <c r="D93" s="36"/>
      <c r="E93" s="106" t="s">
        <v>454</v>
      </c>
      <c r="F93" s="40"/>
      <c r="G93" s="39"/>
    </row>
    <row r="94" spans="2:7" ht="19.95" customHeight="1" x14ac:dyDescent="0.45">
      <c r="D94" s="36"/>
      <c r="E94" s="106" t="s">
        <v>455</v>
      </c>
      <c r="F94" s="40"/>
      <c r="G94" s="39"/>
    </row>
    <row r="95" spans="2:7" ht="19.95" customHeight="1" x14ac:dyDescent="0.45">
      <c r="D95" s="41"/>
      <c r="E95" s="107" t="s">
        <v>456</v>
      </c>
      <c r="F95" s="42"/>
      <c r="G95" s="43"/>
    </row>
    <row r="96" spans="2:7" ht="19.95" customHeight="1" x14ac:dyDescent="0.45">
      <c r="B96" s="23">
        <f t="shared" ref="B96" si="9">B91+1</f>
        <v>19</v>
      </c>
      <c r="C96" s="24" t="str">
        <f>"ﾘｽﾄ!C"&amp;B96+2</f>
        <v>ﾘｽﾄ!C21</v>
      </c>
      <c r="D96" s="44" t="str">
        <f>IFERROR(VLOOKUP($B96,ﾘｽﾄ!A:B,2,FALSE),"")</f>
        <v>システムサービス部</v>
      </c>
      <c r="E96" s="135" t="s">
        <v>457</v>
      </c>
      <c r="F96" s="46" t="str" cm="1">
        <f t="array" aca="1" ref="F96" ca="1">HYPERLINK(INDIRECT(C96),D96)</f>
        <v>システムサービス部</v>
      </c>
      <c r="G96" s="45"/>
    </row>
    <row r="97" spans="2:7" ht="19.95" customHeight="1" x14ac:dyDescent="0.45">
      <c r="D97" s="36"/>
      <c r="E97" s="159" t="s">
        <v>458</v>
      </c>
      <c r="F97" s="40"/>
      <c r="G97" s="39"/>
    </row>
    <row r="98" spans="2:7" ht="19.95" customHeight="1" x14ac:dyDescent="0.45">
      <c r="D98" s="36"/>
      <c r="E98" s="106" t="s">
        <v>459</v>
      </c>
      <c r="F98" s="40"/>
      <c r="G98" s="39"/>
    </row>
    <row r="99" spans="2:7" ht="19.95" customHeight="1" x14ac:dyDescent="0.45">
      <c r="D99" s="36"/>
      <c r="E99" s="106" t="s">
        <v>460</v>
      </c>
      <c r="F99" s="40"/>
      <c r="G99" s="39"/>
    </row>
    <row r="100" spans="2:7" ht="19.95" customHeight="1" x14ac:dyDescent="0.45">
      <c r="D100" s="41"/>
      <c r="E100" s="154" t="s">
        <v>461</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462</v>
      </c>
      <c r="F101" s="46" t="str" cm="1">
        <f t="array" aca="1" ref="F101" ca="1">HYPERLINK(INDIRECT(C101),D101)</f>
        <v>DX・海外連携推進室</v>
      </c>
      <c r="G101" s="45"/>
    </row>
    <row r="102" spans="2:7" ht="19.95" customHeight="1" x14ac:dyDescent="0.45">
      <c r="D102" s="36"/>
      <c r="E102" s="106" t="s">
        <v>463</v>
      </c>
      <c r="F102" s="40"/>
      <c r="G102" s="39"/>
    </row>
    <row r="103" spans="2:7" ht="19.95" customHeight="1" x14ac:dyDescent="0.45">
      <c r="D103" s="36"/>
      <c r="E103" s="106" t="s">
        <v>464</v>
      </c>
      <c r="F103" s="40"/>
      <c r="G103" s="39"/>
    </row>
    <row r="104" spans="2:7" ht="19.95" customHeight="1" x14ac:dyDescent="0.45">
      <c r="D104" s="36"/>
      <c r="E104" s="106" t="s">
        <v>465</v>
      </c>
      <c r="F104" s="40"/>
      <c r="G104" s="39"/>
    </row>
    <row r="105" spans="2:7" ht="19.95" customHeight="1" x14ac:dyDescent="0.45">
      <c r="D105" s="41"/>
      <c r="E105" s="107" t="s">
        <v>466</v>
      </c>
      <c r="F105" s="42"/>
      <c r="G105" s="43"/>
    </row>
    <row r="106" spans="2:7" ht="19.95" customHeight="1" x14ac:dyDescent="0.45">
      <c r="B106" s="23">
        <f t="shared" ref="B106" si="11">B101+1</f>
        <v>21</v>
      </c>
      <c r="C106" s="24" t="str">
        <f>"ﾘｽﾄ!C"&amp;B106+2</f>
        <v>ﾘｽﾄ!C23</v>
      </c>
      <c r="D106" s="44" t="str">
        <f>IFERROR(VLOOKUP($B106,ﾘｽﾄ!A:B,2,FALSE),"")</f>
        <v>DX推進部</v>
      </c>
      <c r="E106" s="135" t="s">
        <v>467</v>
      </c>
      <c r="F106" s="46" t="str" cm="1">
        <f t="array" aca="1" ref="F106" ca="1">HYPERLINK(INDIRECT(C106),D106)</f>
        <v>DX推進部</v>
      </c>
      <c r="G106" s="45"/>
    </row>
    <row r="107" spans="2:7" ht="19.95" customHeight="1" x14ac:dyDescent="0.45">
      <c r="D107" s="36"/>
      <c r="E107" s="154" t="s">
        <v>468</v>
      </c>
      <c r="F107" s="40"/>
      <c r="G107" s="39"/>
    </row>
    <row r="108" spans="2:7" ht="19.95" customHeight="1" x14ac:dyDescent="0.45">
      <c r="D108" s="36"/>
      <c r="E108" s="106" t="s">
        <v>469</v>
      </c>
      <c r="F108" s="40"/>
      <c r="G108" s="39"/>
    </row>
    <row r="109" spans="2:7" ht="19.95" customHeight="1" x14ac:dyDescent="0.45">
      <c r="D109" s="36"/>
      <c r="E109" s="106" t="s">
        <v>470</v>
      </c>
      <c r="F109" s="40"/>
      <c r="G109" s="39"/>
    </row>
    <row r="110" spans="2:7" ht="19.95" customHeight="1" x14ac:dyDescent="0.45">
      <c r="D110" s="41"/>
      <c r="E110" s="107" t="s">
        <v>471</v>
      </c>
      <c r="F110" s="42"/>
      <c r="G110" s="170" t="s">
        <v>472</v>
      </c>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473</v>
      </c>
      <c r="F116" s="46" t="str" cm="1">
        <f t="array" aca="1" ref="F116" ca="1">HYPERLINK(INDIRECT(C116),D116)</f>
        <v>ビジネスプロデュース部</v>
      </c>
      <c r="G116" s="45"/>
    </row>
    <row r="117" spans="2:7" ht="19.95" customHeight="1" x14ac:dyDescent="0.45">
      <c r="D117" s="36"/>
      <c r="E117" s="106" t="s">
        <v>474</v>
      </c>
      <c r="F117" s="40"/>
      <c r="G117" s="39"/>
    </row>
    <row r="118" spans="2:7" ht="19.95" customHeight="1" x14ac:dyDescent="0.45">
      <c r="D118" s="36"/>
      <c r="E118" s="106" t="s">
        <v>475</v>
      </c>
      <c r="F118" s="40"/>
      <c r="G118" s="39"/>
    </row>
    <row r="119" spans="2:7" ht="19.95" customHeight="1" x14ac:dyDescent="0.45">
      <c r="D119" s="36"/>
      <c r="E119" s="106" t="s">
        <v>476</v>
      </c>
      <c r="F119" s="40"/>
      <c r="G119" s="39"/>
    </row>
    <row r="120" spans="2:7" ht="19.95" customHeight="1" x14ac:dyDescent="0.45">
      <c r="D120" s="36"/>
      <c r="E120" s="106" t="s">
        <v>477</v>
      </c>
      <c r="F120" s="40"/>
      <c r="G120" s="39"/>
    </row>
    <row r="121" spans="2:7" ht="19.95" customHeight="1" x14ac:dyDescent="0.45">
      <c r="D121" s="41"/>
      <c r="E121" s="107" t="s">
        <v>478</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479</v>
      </c>
      <c r="F122" s="46" t="str" cm="1">
        <f t="array" aca="1" ref="F122" ca="1">HYPERLINK(INDIRECT(C122),D122)</f>
        <v>インフラビジネス推進部</v>
      </c>
      <c r="G122" s="45"/>
    </row>
    <row r="123" spans="2:7" ht="19.95" customHeight="1" x14ac:dyDescent="0.45">
      <c r="D123" s="36"/>
      <c r="E123" s="106" t="s">
        <v>480</v>
      </c>
      <c r="F123" s="40"/>
      <c r="G123" s="39"/>
    </row>
    <row r="124" spans="2:7" ht="19.95" customHeight="1" x14ac:dyDescent="0.45">
      <c r="D124" s="36"/>
      <c r="E124" s="174" t="s">
        <v>481</v>
      </c>
      <c r="F124" s="40"/>
      <c r="G124" s="39"/>
    </row>
    <row r="125" spans="2:7" ht="19.95" customHeight="1" x14ac:dyDescent="0.45">
      <c r="D125" s="36"/>
      <c r="E125" s="174" t="s">
        <v>318</v>
      </c>
      <c r="F125" s="40"/>
      <c r="G125" s="39" t="s">
        <v>148</v>
      </c>
    </row>
    <row r="126" spans="2:7" ht="19.95" customHeight="1" x14ac:dyDescent="0.45">
      <c r="D126" s="41"/>
      <c r="E126" s="107" t="s">
        <v>482</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483</v>
      </c>
      <c r="F132" s="46" t="str" cm="1">
        <f t="array" aca="1" ref="F132" ca="1">HYPERLINK(INDIRECT(C132),D132)</f>
        <v>西日本支社</v>
      </c>
      <c r="G132" s="45"/>
    </row>
    <row r="133" spans="2:7" ht="19.95" customHeight="1" x14ac:dyDescent="0.45">
      <c r="D133" s="36"/>
      <c r="E133" s="106" t="s">
        <v>321</v>
      </c>
      <c r="F133" s="40"/>
      <c r="G133" s="39"/>
    </row>
    <row r="134" spans="2:7" ht="19.95" customHeight="1" x14ac:dyDescent="0.45">
      <c r="D134" s="36"/>
      <c r="E134" s="106" t="s">
        <v>484</v>
      </c>
      <c r="F134" s="40"/>
      <c r="G134" s="39"/>
    </row>
    <row r="135" spans="2:7" ht="19.95" customHeight="1" x14ac:dyDescent="0.45">
      <c r="D135" s="36"/>
      <c r="E135" s="106" t="s">
        <v>485</v>
      </c>
      <c r="F135" s="40"/>
      <c r="G135" s="39"/>
    </row>
    <row r="136" spans="2:7" ht="19.95" customHeight="1" x14ac:dyDescent="0.45">
      <c r="D136" s="41"/>
      <c r="E136" s="107" t="s">
        <v>324</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486</v>
      </c>
      <c r="F137" s="46" t="str" cm="1">
        <f t="array" aca="1" ref="F137" ca="1">HYPERLINK(INDIRECT(C137),D137)</f>
        <v>福岡支社</v>
      </c>
      <c r="G137" s="45"/>
    </row>
    <row r="138" spans="2:7" ht="19.95" customHeight="1" x14ac:dyDescent="0.45">
      <c r="D138" s="36"/>
      <c r="E138" s="149" t="s">
        <v>487</v>
      </c>
      <c r="F138" s="40"/>
      <c r="G138" s="39"/>
    </row>
    <row r="139" spans="2:7" ht="19.95" customHeight="1" x14ac:dyDescent="0.45">
      <c r="D139" s="36"/>
      <c r="E139" s="149" t="s">
        <v>488</v>
      </c>
      <c r="F139" s="40"/>
      <c r="G139" s="39"/>
    </row>
    <row r="140" spans="2:7" ht="19.95" customHeight="1" x14ac:dyDescent="0.45">
      <c r="D140" s="36"/>
      <c r="E140" s="149" t="s">
        <v>489</v>
      </c>
      <c r="F140" s="40"/>
      <c r="G140" s="39"/>
    </row>
    <row r="141" spans="2:7" ht="19.95" customHeight="1" x14ac:dyDescent="0.45">
      <c r="D141" s="41"/>
      <c r="E141" s="107" t="s">
        <v>490</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14" t="s">
        <v>491</v>
      </c>
      <c r="F142" s="46" t="str" cm="1">
        <f t="array" aca="1" ref="F142" ca="1">HYPERLINK(INDIRECT(C142),D142)</f>
        <v>公共ソリューション部</v>
      </c>
      <c r="G142" s="45"/>
    </row>
    <row r="143" spans="2:7" ht="19.95" customHeight="1" x14ac:dyDescent="0.45">
      <c r="D143" s="36"/>
      <c r="E143" s="115" t="s">
        <v>492</v>
      </c>
      <c r="F143" s="40"/>
      <c r="G143" s="39"/>
    </row>
    <row r="144" spans="2:7" ht="19.95" customHeight="1" x14ac:dyDescent="0.45">
      <c r="D144" s="36"/>
      <c r="E144" s="115" t="s">
        <v>493</v>
      </c>
      <c r="F144" s="40"/>
      <c r="G144" s="39"/>
    </row>
    <row r="145" spans="2:7" ht="19.95" customHeight="1" x14ac:dyDescent="0.45">
      <c r="D145" s="36"/>
      <c r="E145" s="115" t="s">
        <v>494</v>
      </c>
      <c r="F145" s="40"/>
      <c r="G145" s="39"/>
    </row>
    <row r="146" spans="2:7" ht="19.95" customHeight="1" x14ac:dyDescent="0.45">
      <c r="D146" s="41"/>
      <c r="E146" s="107"/>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38" t="s">
        <v>495</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496</v>
      </c>
      <c r="F149" s="40"/>
      <c r="G149" s="39"/>
    </row>
    <row r="150" spans="2:7" ht="19.95" customHeight="1" x14ac:dyDescent="0.45">
      <c r="D150" s="36"/>
      <c r="E150" s="140" t="s">
        <v>497</v>
      </c>
      <c r="F150" s="40"/>
      <c r="G150" s="39"/>
    </row>
    <row r="151" spans="2:7" ht="19.95" customHeight="1" x14ac:dyDescent="0.45">
      <c r="D151" s="36"/>
      <c r="E151" s="106" t="s">
        <v>338</v>
      </c>
      <c r="F151" s="40"/>
      <c r="G151" s="39"/>
    </row>
    <row r="152" spans="2:7" ht="19.95" customHeight="1" x14ac:dyDescent="0.45">
      <c r="D152" s="41"/>
      <c r="E152" s="107" t="s">
        <v>339</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498</v>
      </c>
      <c r="F153" s="46" t="str" cm="1">
        <f t="array" aca="1" ref="F153" ca="1">HYPERLINK(INDIRECT(C153),D153)</f>
        <v>公共ソリューション開発センター</v>
      </c>
      <c r="G153" s="45"/>
    </row>
    <row r="154" spans="2:7" ht="19.95" customHeight="1" x14ac:dyDescent="0.45">
      <c r="D154" s="36"/>
      <c r="E154" s="106" t="s">
        <v>341</v>
      </c>
      <c r="F154" s="40"/>
      <c r="G154" s="39"/>
    </row>
    <row r="155" spans="2:7" ht="19.95" customHeight="1" x14ac:dyDescent="0.45">
      <c r="D155" s="36"/>
      <c r="E155" s="106" t="s">
        <v>499</v>
      </c>
      <c r="F155" s="40"/>
      <c r="G155" s="39"/>
    </row>
    <row r="156" spans="2:7" ht="19.95" customHeight="1" x14ac:dyDescent="0.45">
      <c r="D156" s="36"/>
      <c r="E156" s="106" t="s">
        <v>174</v>
      </c>
      <c r="F156" s="40"/>
      <c r="G156" s="39" t="s">
        <v>500</v>
      </c>
    </row>
    <row r="157" spans="2:7" ht="19.95" customHeight="1" x14ac:dyDescent="0.45">
      <c r="D157" s="41"/>
      <c r="E157" s="107" t="s">
        <v>342</v>
      </c>
      <c r="F157" s="42"/>
      <c r="G157" s="185" t="s">
        <v>501</v>
      </c>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c r="F158" s="46" t="str" cm="1">
        <f t="array" aca="1" ref="F158" ca="1">HYPERLINK(INDIRECT(C158),D158)</f>
        <v>システムプロデュース事業部</v>
      </c>
      <c r="G158" s="45"/>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346</v>
      </c>
      <c r="F163" s="46" t="str" cm="1">
        <f t="array" aca="1" ref="F163" ca="1">HYPERLINK(INDIRECT(C163),D163)</f>
        <v>デジタルイノベーション推進部</v>
      </c>
      <c r="G163" s="45"/>
    </row>
    <row r="164" spans="2:7" ht="19.95" customHeight="1" x14ac:dyDescent="0.45">
      <c r="D164" s="36"/>
      <c r="E164" s="106" t="s">
        <v>502</v>
      </c>
      <c r="F164" s="40"/>
      <c r="G164" s="39"/>
    </row>
    <row r="165" spans="2:7" ht="19.95" customHeight="1" x14ac:dyDescent="0.45">
      <c r="D165" s="36"/>
      <c r="E165" s="106" t="s">
        <v>179</v>
      </c>
      <c r="F165" s="40"/>
      <c r="G165" s="39"/>
    </row>
    <row r="166" spans="2:7" ht="19.95" customHeight="1" x14ac:dyDescent="0.45">
      <c r="D166" s="36"/>
      <c r="E166" s="106" t="s">
        <v>180</v>
      </c>
      <c r="F166" s="40"/>
      <c r="G166" s="39"/>
    </row>
    <row r="167" spans="2:7" ht="19.95" customHeight="1" x14ac:dyDescent="0.45">
      <c r="D167" s="41"/>
      <c r="E167" s="107" t="s">
        <v>503</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504</v>
      </c>
      <c r="F168" s="46" t="str" cm="1">
        <f t="array" aca="1" ref="F168" ca="1">HYPERLINK(INDIRECT(C168),D168)</f>
        <v>施設予約サービス部</v>
      </c>
      <c r="G168" s="45"/>
    </row>
    <row r="169" spans="2:7" ht="19.95" customHeight="1" x14ac:dyDescent="0.45">
      <c r="D169" s="36"/>
      <c r="E169" s="106" t="s">
        <v>505</v>
      </c>
      <c r="F169" s="40"/>
      <c r="G169" s="39"/>
    </row>
    <row r="170" spans="2:7" ht="19.95" customHeight="1" x14ac:dyDescent="0.45">
      <c r="D170" s="36"/>
      <c r="E170" s="106" t="s">
        <v>506</v>
      </c>
      <c r="F170" s="40"/>
      <c r="G170" s="39"/>
    </row>
    <row r="171" spans="2:7" ht="19.95" customHeight="1" x14ac:dyDescent="0.45">
      <c r="D171" s="36"/>
      <c r="E171" s="106" t="s">
        <v>507</v>
      </c>
      <c r="F171" s="40"/>
      <c r="G171" s="39"/>
    </row>
    <row r="172" spans="2:7" ht="19.95" customHeight="1" x14ac:dyDescent="0.45">
      <c r="D172" s="41"/>
      <c r="E172" s="107" t="s">
        <v>508</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187</v>
      </c>
      <c r="F173" s="46" t="str" cm="1">
        <f t="array" aca="1" ref="F173" ca="1">HYPERLINK(INDIRECT(C173),D173)</f>
        <v>ソリューションサービス部</v>
      </c>
      <c r="G173" s="45" t="s">
        <v>509</v>
      </c>
    </row>
    <row r="174" spans="2:7" ht="19.95" customHeight="1" x14ac:dyDescent="0.45">
      <c r="D174" s="36"/>
      <c r="E174" s="106" t="s">
        <v>510</v>
      </c>
      <c r="F174" s="40"/>
      <c r="G174" s="39"/>
    </row>
    <row r="175" spans="2:7" ht="19.95" customHeight="1" x14ac:dyDescent="0.45">
      <c r="D175" s="36"/>
      <c r="E175" s="106" t="s">
        <v>355</v>
      </c>
      <c r="F175" s="40"/>
      <c r="G175" s="39"/>
    </row>
    <row r="176" spans="2:7" ht="19.95" customHeight="1" x14ac:dyDescent="0.45">
      <c r="D176" s="36"/>
      <c r="E176" s="106" t="s">
        <v>511</v>
      </c>
      <c r="F176" s="40"/>
      <c r="G176" s="39"/>
    </row>
    <row r="177" spans="2:7" ht="19.95" customHeight="1" x14ac:dyDescent="0.45">
      <c r="D177" s="41"/>
      <c r="E177" s="107" t="s">
        <v>512</v>
      </c>
      <c r="F177" s="42"/>
      <c r="G177" s="43"/>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359</v>
      </c>
      <c r="F183" s="46" t="str" cm="1">
        <f t="array" aca="1" ref="F183" ca="1">HYPERLINK(INDIRECT(C183),D183)</f>
        <v>東京本社マネジメント推進部</v>
      </c>
      <c r="G183" s="45"/>
    </row>
    <row r="184" spans="2:7" ht="19.95" customHeight="1" x14ac:dyDescent="0.45">
      <c r="D184" s="36"/>
      <c r="E184" s="154" t="s">
        <v>513</v>
      </c>
      <c r="F184" s="40"/>
      <c r="G184" s="39"/>
    </row>
    <row r="185" spans="2:7" ht="19.95" customHeight="1" x14ac:dyDescent="0.45">
      <c r="D185" s="36"/>
      <c r="E185" s="106" t="s">
        <v>514</v>
      </c>
      <c r="F185" s="40"/>
      <c r="G185" s="39"/>
    </row>
    <row r="186" spans="2:7" ht="19.95" customHeight="1" x14ac:dyDescent="0.45">
      <c r="D186" s="36"/>
      <c r="E186" s="106" t="s">
        <v>515</v>
      </c>
      <c r="F186" s="40"/>
      <c r="G186" s="39"/>
    </row>
    <row r="187" spans="2:7" ht="19.95" customHeight="1" x14ac:dyDescent="0.45">
      <c r="D187" s="41"/>
      <c r="E187" s="154" t="s">
        <v>516</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E191" s="106"/>
      <c r="F191" s="40"/>
      <c r="G191" s="39"/>
    </row>
    <row r="192" spans="2:7" ht="19.95" customHeight="1" x14ac:dyDescent="0.45">
      <c r="D192" s="47"/>
      <c r="E192" s="107"/>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c r="F193" s="46" t="str" cm="1">
        <f t="array" aca="1" ref="F193" ca="1">HYPERLINK(INDIRECT(C193),D193)</f>
        <v>中島常務執行役員</v>
      </c>
      <c r="G193" s="45"/>
    </row>
    <row r="194" spans="2:7" ht="19.95" customHeight="1" x14ac:dyDescent="0.45">
      <c r="D194" s="36"/>
      <c r="E194" s="106"/>
      <c r="F194" s="40"/>
      <c r="G194" s="39"/>
    </row>
    <row r="195" spans="2:7" ht="19.95" customHeight="1" x14ac:dyDescent="0.45">
      <c r="D195" s="36"/>
      <c r="E195" s="106"/>
      <c r="F195" s="40"/>
      <c r="G195" s="39"/>
    </row>
    <row r="196" spans="2:7" ht="19.95" customHeight="1" x14ac:dyDescent="0.45">
      <c r="D196" s="36"/>
      <c r="E196" s="106"/>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t="s">
        <v>517</v>
      </c>
      <c r="F198" s="46" t="str" cm="1">
        <f t="array" aca="1" ref="F198" ca="1">HYPERLINK(INDIRECT(C198),D198)</f>
        <v>河野取締役</v>
      </c>
      <c r="G198" s="45"/>
    </row>
    <row r="199" spans="2:7" ht="19.95" customHeight="1" x14ac:dyDescent="0.45">
      <c r="D199" s="36"/>
      <c r="E199" s="106" t="s">
        <v>518</v>
      </c>
      <c r="F199" s="40"/>
      <c r="G199" s="39"/>
    </row>
    <row r="200" spans="2:7" ht="19.95" customHeight="1" x14ac:dyDescent="0.45">
      <c r="D200" s="36"/>
      <c r="E200" s="106" t="s">
        <v>519</v>
      </c>
      <c r="F200" s="40"/>
      <c r="G200" s="39"/>
    </row>
    <row r="201" spans="2:7" ht="19.95" customHeight="1" x14ac:dyDescent="0.45">
      <c r="D201" s="36"/>
      <c r="E201" s="106"/>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t="s">
        <v>520</v>
      </c>
      <c r="F213" s="46" t="str" cm="1">
        <f t="array" aca="1" ref="F213" ca="1">HYPERLINK(INDIRECT(C213),D213)</f>
        <v>加藤社長</v>
      </c>
      <c r="G213" s="45"/>
    </row>
    <row r="214" spans="2:7" ht="19.95" customHeight="1" x14ac:dyDescent="0.45">
      <c r="D214" s="36"/>
      <c r="E214" s="106" t="s">
        <v>521</v>
      </c>
      <c r="F214" s="40"/>
      <c r="G214" s="39"/>
    </row>
    <row r="215" spans="2:7" ht="19.95" customHeight="1" x14ac:dyDescent="0.45">
      <c r="D215" s="36"/>
      <c r="E215" s="106" t="s">
        <v>522</v>
      </c>
      <c r="F215" s="40"/>
      <c r="G215" s="39"/>
    </row>
    <row r="216" spans="2:7" ht="19.95" customHeight="1" x14ac:dyDescent="0.45">
      <c r="D216" s="36"/>
      <c r="E216" s="106" t="s">
        <v>523</v>
      </c>
      <c r="F216" s="40"/>
      <c r="G216" s="39"/>
    </row>
    <row r="217" spans="2:7" ht="19.95" customHeight="1" thickBot="1" x14ac:dyDescent="0.5">
      <c r="D217" s="48"/>
      <c r="E217" s="109"/>
      <c r="F217" s="49"/>
      <c r="G217" s="50"/>
    </row>
    <row r="218" spans="2:7" x14ac:dyDescent="0.45">
      <c r="D218" s="111"/>
      <c r="E218" s="112"/>
      <c r="F218" s="113"/>
      <c r="G218" s="112"/>
    </row>
  </sheetData>
  <sheetProtection algorithmName="SHA-512" hashValue="nuPGygfE18HO0GklDMaK0Wxw5VDlaz8bts+yzRzvRYRUIsyC/dkozJmOVCYEeLoeiwczIwJo3J9D97Bsj4hzEg==" saltValue="nbOptxVMNR8CsXD2Tk8V9w==" spinCount="100000" sheet="1" objects="1" scenarios="1"/>
  <phoneticPr fontId="1"/>
  <hyperlinks>
    <hyperlink ref="F1" location="ﾘｽﾄ!A1" display="格納先一覧はこちら" xr:uid="{85C83C95-DC4D-4FBE-A425-2E2A4E141483}"/>
    <hyperlink ref="G110" r:id="rId1" xr:uid="{4A5CE734-F2B9-4432-A08D-C4527E91F225}"/>
    <hyperlink ref="E29" r:id="rId2" xr:uid="{64327A1B-4F53-4734-AA6C-496BC10F9726}"/>
    <hyperlink ref="G32" r:id="rId3" xr:uid="{59239A56-289D-4D14-AA21-052F5CA2B1C3}"/>
    <hyperlink ref="G22" r:id="rId4" display="AWS OrganizationsによるAWSアカウントの管理について (cybozu.com)" xr:uid="{63EDEB2F-CAD4-40A6-8625-66DDEC9AC9D2}"/>
  </hyperlinks>
  <printOptions horizontalCentered="1"/>
  <pageMargins left="0" right="0" top="0" bottom="0" header="0.31496062992125984" footer="0.31496062992125984"/>
  <pageSetup paperSize="8" scale="72" fitToHeight="3" orientation="portrait" horizontalDpi="1200" verticalDpi="1200" r:id="rId5"/>
  <rowBreaks count="2" manualBreakCount="2">
    <brk id="80" min="3" max="6" man="1"/>
    <brk id="146" min="3"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DF213-0F9B-4278-8965-37F814347754}">
  <sheetPr codeName="Sheet6">
    <tabColor rgb="FFFFFF00"/>
  </sheetPr>
  <dimension ref="A1:G218"/>
  <sheetViews>
    <sheetView showGridLines="0" zoomScale="80" zoomScaleNormal="80" workbookViewId="0">
      <pane ySplit="4" topLeftCell="A97" activePane="bottomLeft" state="frozen"/>
      <selection activeCell="D1" sqref="D1"/>
      <selection pane="bottomLeft" activeCell="E97" sqref="E9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2.69921875" style="25" customWidth="1"/>
    <col min="6" max="6" width="25.5" style="29" customWidth="1"/>
    <col min="7" max="7" width="48" style="25" customWidth="1"/>
    <col min="8" max="16384" width="8.69921875" style="11"/>
  </cols>
  <sheetData>
    <row r="1" spans="1:7" ht="27.6" customHeight="1" thickBot="1" x14ac:dyDescent="0.5">
      <c r="A1" s="26">
        <v>4</v>
      </c>
      <c r="E1" s="30" t="s">
        <v>7</v>
      </c>
      <c r="F1" s="51" t="s">
        <v>8</v>
      </c>
      <c r="G1" s="52" t="s">
        <v>9</v>
      </c>
    </row>
    <row r="2" spans="1:7" x14ac:dyDescent="0.45">
      <c r="A2" s="26" cm="1">
        <f t="array" aca="1" ref="A2" ca="1">VALUE(MID(CELL("filename",A2),FIND("]",CELL("filename",A2))+1,99))</f>
        <v>4</v>
      </c>
      <c r="B2" s="27"/>
      <c r="C2" s="28"/>
      <c r="D2" s="95" t="s">
        <v>10</v>
      </c>
      <c r="G2" s="101" t="s">
        <v>11</v>
      </c>
    </row>
    <row r="3" spans="1:7" ht="24.6" customHeight="1" thickBot="1" x14ac:dyDescent="0.5">
      <c r="A3" s="26"/>
      <c r="D3" s="93">
        <f>IFERROR(VLOOKUP($A$1,目次!$C$5:$I$100,5,FALSE),"")</f>
        <v>45408</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373</v>
      </c>
      <c r="F5" s="37" t="str" cm="1">
        <f t="array" aca="1" ref="F5" ca="1">HYPERLINK(INDIRECT(C5),D5)</f>
        <v>総務部</v>
      </c>
      <c r="G5" s="38"/>
    </row>
    <row r="6" spans="1:7" ht="19.95" customHeight="1" x14ac:dyDescent="0.45">
      <c r="D6" s="36"/>
      <c r="E6" s="177" t="s">
        <v>524</v>
      </c>
      <c r="F6" s="37"/>
      <c r="G6" s="39"/>
    </row>
    <row r="7" spans="1:7" ht="19.95" customHeight="1" x14ac:dyDescent="0.45">
      <c r="D7" s="36"/>
      <c r="E7" s="106" t="s">
        <v>525</v>
      </c>
      <c r="F7" s="40"/>
      <c r="G7" s="39"/>
    </row>
    <row r="8" spans="1:7" ht="19.95" customHeight="1" x14ac:dyDescent="0.45">
      <c r="D8" s="36"/>
      <c r="E8" s="106" t="s">
        <v>526</v>
      </c>
      <c r="F8" s="40"/>
      <c r="G8" s="39"/>
    </row>
    <row r="9" spans="1:7" ht="19.95" customHeight="1" x14ac:dyDescent="0.45">
      <c r="D9" s="41"/>
      <c r="E9" s="107" t="s">
        <v>527</v>
      </c>
      <c r="F9" s="42"/>
      <c r="G9" s="43"/>
    </row>
    <row r="10" spans="1:7" ht="19.95" customHeight="1" x14ac:dyDescent="0.45">
      <c r="B10" s="23">
        <f>B5+1</f>
        <v>2</v>
      </c>
      <c r="C10" s="24" t="str">
        <f>"ﾘｽﾄ!C"&amp;B10+2</f>
        <v>ﾘｽﾄ!C4</v>
      </c>
      <c r="D10" s="44" t="str">
        <f>IFERROR(VLOOKUP($B10,ﾘｽﾄ!A:B,2,FALSE),"")</f>
        <v>人事部</v>
      </c>
      <c r="E10" s="178" t="s">
        <v>528</v>
      </c>
      <c r="F10" s="37" t="str" cm="1">
        <f t="array" aca="1" ref="F10" ca="1">HYPERLINK(INDIRECT(C10),D10)</f>
        <v>人事部</v>
      </c>
      <c r="G10" s="45"/>
    </row>
    <row r="11" spans="1:7" ht="19.95" customHeight="1" x14ac:dyDescent="0.45">
      <c r="D11" s="36"/>
      <c r="E11" s="179" t="s">
        <v>529</v>
      </c>
      <c r="F11" s="37"/>
      <c r="G11" s="39"/>
    </row>
    <row r="12" spans="1:7" ht="19.95" customHeight="1" x14ac:dyDescent="0.45">
      <c r="D12" s="36"/>
      <c r="E12" s="179" t="s">
        <v>530</v>
      </c>
      <c r="F12" s="37"/>
      <c r="G12" s="39"/>
    </row>
    <row r="13" spans="1:7" ht="19.95" customHeight="1" x14ac:dyDescent="0.45">
      <c r="D13" s="36"/>
      <c r="E13" s="198" t="s">
        <v>531</v>
      </c>
      <c r="F13" s="40"/>
      <c r="G13" s="39"/>
    </row>
    <row r="14" spans="1:7" ht="19.95" customHeight="1" x14ac:dyDescent="0.45">
      <c r="D14" s="41"/>
      <c r="E14" s="194" t="s">
        <v>532</v>
      </c>
      <c r="F14" s="42"/>
      <c r="G14" s="43"/>
    </row>
    <row r="15" spans="1:7" ht="19.95" customHeight="1" x14ac:dyDescent="0.45">
      <c r="B15" s="23">
        <f>B10+1</f>
        <v>3</v>
      </c>
      <c r="C15" s="24" t="str">
        <f>"ﾘｽﾄ!C"&amp;B15+2</f>
        <v>ﾘｽﾄ!C5</v>
      </c>
      <c r="D15" s="44" t="str">
        <f>IFERROR(VLOOKUP($B15,ﾘｽﾄ!A:B,2,FALSE),"")</f>
        <v>総務・人事統括部</v>
      </c>
      <c r="E15" s="154" t="s">
        <v>533</v>
      </c>
      <c r="F15" s="37" t="str" cm="1">
        <f t="array" aca="1" ref="F15" ca="1">HYPERLINK(INDIRECT(C15),D15)</f>
        <v>総務・人事統括部</v>
      </c>
      <c r="G15" s="45"/>
    </row>
    <row r="16" spans="1:7" ht="19.95" customHeight="1" x14ac:dyDescent="0.45">
      <c r="D16" s="36"/>
      <c r="E16" s="106" t="s">
        <v>534</v>
      </c>
      <c r="F16" s="37"/>
      <c r="G16" s="39"/>
    </row>
    <row r="17" spans="2:7" ht="19.95" customHeight="1" x14ac:dyDescent="0.45">
      <c r="D17" s="36"/>
      <c r="E17" s="106" t="s">
        <v>384</v>
      </c>
      <c r="F17" s="40"/>
      <c r="G17" s="39"/>
    </row>
    <row r="18" spans="2:7" ht="19.95" customHeight="1" x14ac:dyDescent="0.45">
      <c r="D18" s="36"/>
      <c r="E18" s="106" t="s">
        <v>535</v>
      </c>
      <c r="F18" s="40"/>
      <c r="G18" s="39"/>
    </row>
    <row r="19" spans="2:7" ht="19.95" customHeight="1" x14ac:dyDescent="0.45">
      <c r="D19" s="41"/>
      <c r="E19" s="154" t="s">
        <v>536</v>
      </c>
      <c r="F19" s="42"/>
      <c r="G19" s="43"/>
    </row>
    <row r="20" spans="2:7" ht="19.95" customHeight="1" x14ac:dyDescent="0.45">
      <c r="B20" s="23">
        <f>B15+1</f>
        <v>4</v>
      </c>
      <c r="C20" s="24" t="str">
        <f>"ﾘｽﾄ!C"&amp;B20+2</f>
        <v>ﾘｽﾄ!C6</v>
      </c>
      <c r="D20" s="44" t="str">
        <f>IFERROR(VLOOKUP($B20,ﾘｽﾄ!A:B,2,FALSE),"")</f>
        <v>経営戦略室</v>
      </c>
      <c r="E20" s="108" t="s">
        <v>537</v>
      </c>
      <c r="F20" s="37" t="str" cm="1">
        <f t="array" aca="1" ref="F20" ca="1">HYPERLINK(INDIRECT(C20),D20)</f>
        <v>経営戦略室</v>
      </c>
      <c r="G20" s="45"/>
    </row>
    <row r="21" spans="2:7" ht="19.95" customHeight="1" x14ac:dyDescent="0.45">
      <c r="D21" s="36"/>
      <c r="E21" s="106" t="s">
        <v>538</v>
      </c>
      <c r="F21" s="40"/>
      <c r="G21" s="39"/>
    </row>
    <row r="22" spans="2:7" ht="19.95" customHeight="1" x14ac:dyDescent="0.45">
      <c r="D22" s="36"/>
      <c r="E22" s="106" t="s">
        <v>539</v>
      </c>
      <c r="F22" s="40"/>
      <c r="G22" s="39"/>
    </row>
    <row r="23" spans="2:7" ht="19.95" customHeight="1" x14ac:dyDescent="0.45">
      <c r="D23" s="36"/>
      <c r="E23" s="106" t="s">
        <v>540</v>
      </c>
      <c r="F23" s="40"/>
      <c r="G23" s="39"/>
    </row>
    <row r="24" spans="2:7" ht="19.95" customHeight="1" x14ac:dyDescent="0.45">
      <c r="D24" s="41"/>
      <c r="E24" s="107" t="s">
        <v>541</v>
      </c>
      <c r="F24" s="42"/>
      <c r="G24" s="43"/>
    </row>
    <row r="25" spans="2:7" ht="19.95" customHeight="1" x14ac:dyDescent="0.45">
      <c r="B25" s="23">
        <f>B20+1</f>
        <v>5</v>
      </c>
      <c r="C25" s="24" t="str">
        <f>"ﾘｽﾄ!C"&amp;B25+2</f>
        <v>ﾘｽﾄ!C7</v>
      </c>
      <c r="D25" s="44" t="str">
        <f>IFERROR(VLOOKUP($B25,ﾘｽﾄ!A:B,2,FALSE),"")</f>
        <v>経営管理部</v>
      </c>
      <c r="E25" s="108" t="s">
        <v>542</v>
      </c>
      <c r="F25" s="37" t="str" cm="1">
        <f t="array" aca="1" ref="F25" ca="1">HYPERLINK(INDIRECT(C25),D25)</f>
        <v>経営管理部</v>
      </c>
      <c r="G25" s="45"/>
    </row>
    <row r="26" spans="2:7" ht="19.95" customHeight="1" x14ac:dyDescent="0.45">
      <c r="D26" s="36"/>
      <c r="E26" s="106" t="s">
        <v>543</v>
      </c>
      <c r="F26" s="40"/>
      <c r="G26" s="39"/>
    </row>
    <row r="27" spans="2:7" ht="19.95" customHeight="1" x14ac:dyDescent="0.45">
      <c r="D27" s="36"/>
      <c r="E27" s="106" t="s">
        <v>544</v>
      </c>
      <c r="F27" s="40"/>
      <c r="G27" s="39"/>
    </row>
    <row r="28" spans="2:7" ht="19.95" customHeight="1" x14ac:dyDescent="0.45">
      <c r="D28" s="36"/>
      <c r="E28" s="106" t="s">
        <v>545</v>
      </c>
      <c r="F28" s="40"/>
      <c r="G28" s="39"/>
    </row>
    <row r="29" spans="2:7" ht="19.95" customHeight="1" x14ac:dyDescent="0.45">
      <c r="D29" s="41"/>
      <c r="E29" s="107" t="s">
        <v>546</v>
      </c>
      <c r="F29" s="42"/>
      <c r="G29" s="43"/>
    </row>
    <row r="30" spans="2:7" ht="19.95" customHeight="1" x14ac:dyDescent="0.45">
      <c r="B30" s="23">
        <f>B25+1</f>
        <v>6</v>
      </c>
      <c r="C30" s="24" t="str">
        <f>"ﾘｽﾄ!C"&amp;B30+2</f>
        <v>ﾘｽﾄ!C8</v>
      </c>
      <c r="D30" s="44" t="str">
        <f>IFERROR(VLOOKUP($B30,ﾘｽﾄ!A:B,2,FALSE),"")</f>
        <v>財務部</v>
      </c>
      <c r="E30" s="156" t="s">
        <v>397</v>
      </c>
      <c r="F30" s="37" t="str" cm="1">
        <f t="array" aca="1" ref="F30" ca="1">HYPERLINK(INDIRECT(C30),D30)</f>
        <v>財務部</v>
      </c>
      <c r="G30" s="45"/>
    </row>
    <row r="31" spans="2:7" ht="19.95" customHeight="1" x14ac:dyDescent="0.45">
      <c r="D31" s="36"/>
      <c r="E31" s="157" t="s">
        <v>234</v>
      </c>
      <c r="F31" s="40"/>
      <c r="G31" s="39"/>
    </row>
    <row r="32" spans="2:7" ht="19.95" customHeight="1" x14ac:dyDescent="0.45">
      <c r="D32" s="36"/>
      <c r="E32" s="156" t="s">
        <v>547</v>
      </c>
      <c r="F32" s="40"/>
      <c r="G32" s="162" t="s">
        <v>399</v>
      </c>
    </row>
    <row r="33" spans="2:7" ht="19.95" customHeight="1" x14ac:dyDescent="0.45">
      <c r="D33" s="36"/>
      <c r="E33" s="156" t="s">
        <v>548</v>
      </c>
      <c r="F33" s="40"/>
      <c r="G33" s="162" t="s">
        <v>549</v>
      </c>
    </row>
    <row r="34" spans="2:7" ht="19.95" customHeight="1" x14ac:dyDescent="0.45">
      <c r="D34" s="41"/>
      <c r="E34" s="156" t="s">
        <v>400</v>
      </c>
      <c r="F34" s="42"/>
      <c r="G34" s="43"/>
    </row>
    <row r="35" spans="2:7" ht="19.95" customHeight="1" x14ac:dyDescent="0.45">
      <c r="B35" s="23">
        <f>B30+1</f>
        <v>7</v>
      </c>
      <c r="C35" s="24" t="str">
        <f>"ﾘｽﾄ!C"&amp;B35+2</f>
        <v>ﾘｽﾄ!C9</v>
      </c>
      <c r="D35" s="44" t="str">
        <f>IFERROR(VLOOKUP($B35,ﾘｽﾄ!A:B,2,FALSE),"")</f>
        <v>経営戦略・管理・財務統括部</v>
      </c>
      <c r="E35" s="108" t="s">
        <v>550</v>
      </c>
      <c r="F35" s="37" t="str" cm="1">
        <f t="array" aca="1" ref="F35" ca="1">HYPERLINK(INDIRECT(C35),D35)</f>
        <v>経営戦略・管理・財務統括部</v>
      </c>
      <c r="G35" s="45"/>
    </row>
    <row r="36" spans="2:7" ht="19.95" customHeight="1" x14ac:dyDescent="0.45">
      <c r="D36" s="36"/>
      <c r="E36" s="106" t="s">
        <v>551</v>
      </c>
      <c r="F36" s="40"/>
      <c r="G36" s="39"/>
    </row>
    <row r="37" spans="2:7" ht="19.95" customHeight="1" x14ac:dyDescent="0.45">
      <c r="D37" s="36"/>
      <c r="E37" s="182" t="s">
        <v>552</v>
      </c>
      <c r="F37" s="40"/>
      <c r="G37" s="39"/>
    </row>
    <row r="38" spans="2:7" ht="19.95" customHeight="1" x14ac:dyDescent="0.45">
      <c r="D38" s="36"/>
      <c r="E38" s="106" t="s">
        <v>553</v>
      </c>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t="s">
        <v>554</v>
      </c>
      <c r="F40" s="37" t="str" cm="1">
        <f t="array" aca="1" ref="F40" ca="1">HYPERLINK(INDIRECT(C40),D40)</f>
        <v>公共第1プロデュース部</v>
      </c>
      <c r="G40" s="45" t="s">
        <v>555</v>
      </c>
    </row>
    <row r="41" spans="2:7" ht="19.95" customHeight="1" x14ac:dyDescent="0.45">
      <c r="D41" s="36"/>
      <c r="E41" s="106" t="s">
        <v>556</v>
      </c>
      <c r="F41" s="40"/>
      <c r="G41" s="39" t="s">
        <v>557</v>
      </c>
    </row>
    <row r="42" spans="2:7" ht="19.95" customHeight="1" x14ac:dyDescent="0.45">
      <c r="D42" s="36"/>
      <c r="E42" s="106" t="s">
        <v>558</v>
      </c>
      <c r="F42" s="40"/>
      <c r="G42" s="39" t="s">
        <v>559</v>
      </c>
    </row>
    <row r="43" spans="2:7" ht="19.95" customHeight="1" x14ac:dyDescent="0.45">
      <c r="D43" s="36"/>
      <c r="E43" s="106" t="s">
        <v>560</v>
      </c>
      <c r="F43" s="40"/>
      <c r="G43" s="39"/>
    </row>
    <row r="44" spans="2:7" ht="19.95" customHeight="1" x14ac:dyDescent="0.45">
      <c r="D44" s="41"/>
      <c r="E44" s="107" t="s">
        <v>561</v>
      </c>
      <c r="F44" s="42"/>
      <c r="G44" s="43"/>
    </row>
    <row r="45" spans="2:7" ht="19.95" customHeight="1" x14ac:dyDescent="0.45">
      <c r="B45" s="23">
        <f>B40+1</f>
        <v>9</v>
      </c>
      <c r="C45" s="24" t="str">
        <f>"ﾘｽﾄ!C"&amp;B45+2</f>
        <v>ﾘｽﾄ!C11</v>
      </c>
      <c r="D45" s="44" t="str">
        <f>IFERROR(VLOOKUP($B45,ﾘｽﾄ!A:B,2,FALSE),"")</f>
        <v>公共第2プロデュース部</v>
      </c>
      <c r="E45" s="195" t="s">
        <v>562</v>
      </c>
      <c r="F45" s="46" t="str" cm="1">
        <f t="array" aca="1" ref="F45" ca="1">HYPERLINK(INDIRECT(C45),D45)</f>
        <v>公共第2プロデュース部</v>
      </c>
      <c r="G45" s="45" t="s">
        <v>563</v>
      </c>
    </row>
    <row r="46" spans="2:7" ht="19.95" customHeight="1" x14ac:dyDescent="0.45">
      <c r="D46" s="36"/>
      <c r="E46" s="196" t="s">
        <v>564</v>
      </c>
      <c r="F46" s="40"/>
      <c r="G46" s="39" t="s">
        <v>565</v>
      </c>
    </row>
    <row r="47" spans="2:7" ht="19.95" customHeight="1" x14ac:dyDescent="0.45">
      <c r="D47" s="36"/>
      <c r="E47" s="196" t="s">
        <v>566</v>
      </c>
      <c r="F47" s="40"/>
      <c r="G47" s="39" t="s">
        <v>567</v>
      </c>
    </row>
    <row r="48" spans="2:7" ht="19.95" customHeight="1" x14ac:dyDescent="0.45">
      <c r="D48" s="36"/>
      <c r="E48" s="196" t="s">
        <v>568</v>
      </c>
      <c r="F48" s="40"/>
      <c r="G48" s="39"/>
    </row>
    <row r="49" spans="2:7" ht="19.95" customHeight="1" x14ac:dyDescent="0.45">
      <c r="D49" s="41"/>
      <c r="E49" s="197" t="s">
        <v>569</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570</v>
      </c>
      <c r="F51" s="40"/>
      <c r="G51" s="39"/>
    </row>
    <row r="52" spans="2:7" ht="19.95" customHeight="1" x14ac:dyDescent="0.45">
      <c r="D52" s="36"/>
      <c r="E52" s="106" t="s">
        <v>571</v>
      </c>
      <c r="F52" s="40"/>
      <c r="G52" s="39"/>
    </row>
    <row r="53" spans="2:7" ht="19.95" customHeight="1" x14ac:dyDescent="0.45">
      <c r="D53" s="36"/>
      <c r="E53" s="106" t="s">
        <v>572</v>
      </c>
      <c r="F53" s="40"/>
      <c r="G53" s="39"/>
    </row>
    <row r="54" spans="2:7" ht="19.95" customHeight="1" x14ac:dyDescent="0.45">
      <c r="D54" s="41"/>
      <c r="E54" s="107" t="s">
        <v>573</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64" t="s">
        <v>574</v>
      </c>
      <c r="F55" s="46" t="str" cm="1">
        <f t="array" aca="1" ref="F55" ca="1">HYPERLINK(INDIRECT(C55),D55)</f>
        <v>社会インフラサービス部</v>
      </c>
      <c r="G55" s="45"/>
    </row>
    <row r="56" spans="2:7" ht="19.95" customHeight="1" x14ac:dyDescent="0.45">
      <c r="D56" s="36"/>
      <c r="E56" s="163" t="s">
        <v>425</v>
      </c>
      <c r="F56" s="40"/>
      <c r="G56" s="39"/>
    </row>
    <row r="57" spans="2:7" ht="19.95" customHeight="1" x14ac:dyDescent="0.45">
      <c r="D57" s="36"/>
      <c r="E57" s="163" t="s">
        <v>575</v>
      </c>
      <c r="F57" s="40"/>
      <c r="G57" s="39"/>
    </row>
    <row r="58" spans="2:7" ht="19.95" customHeight="1" x14ac:dyDescent="0.45">
      <c r="D58" s="36"/>
      <c r="E58" s="163" t="s">
        <v>576</v>
      </c>
      <c r="F58" s="40"/>
      <c r="G58" s="39"/>
    </row>
    <row r="59" spans="2:7" ht="19.95" customHeight="1" x14ac:dyDescent="0.45">
      <c r="D59" s="36"/>
      <c r="E59" s="163" t="s">
        <v>577</v>
      </c>
      <c r="F59" s="40"/>
      <c r="G59" s="39"/>
    </row>
    <row r="60" spans="2:7" ht="19.95" customHeight="1" x14ac:dyDescent="0.45">
      <c r="D60" s="41"/>
      <c r="E60" s="165" t="s">
        <v>578</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579</v>
      </c>
      <c r="F66" s="46" t="str" cm="1">
        <f t="array" aca="1" ref="F66" ca="1">HYPERLINK(INDIRECT(C66),D66)</f>
        <v>ITサービスマネジメント部</v>
      </c>
      <c r="G66" s="45"/>
    </row>
    <row r="67" spans="2:7" ht="19.95" customHeight="1" x14ac:dyDescent="0.45">
      <c r="D67" s="36"/>
      <c r="E67" s="140" t="s">
        <v>580</v>
      </c>
      <c r="F67" s="40"/>
      <c r="G67" s="39"/>
    </row>
    <row r="68" spans="2:7" ht="19.95" customHeight="1" x14ac:dyDescent="0.45">
      <c r="D68" s="36"/>
      <c r="E68" s="143" t="s">
        <v>581</v>
      </c>
      <c r="F68" s="40"/>
      <c r="G68" s="39"/>
    </row>
    <row r="69" spans="2:7" ht="19.95" customHeight="1" x14ac:dyDescent="0.45">
      <c r="D69" s="36"/>
      <c r="E69" s="140" t="s">
        <v>582</v>
      </c>
      <c r="F69" s="40"/>
      <c r="G69" s="39"/>
    </row>
    <row r="70" spans="2:7" ht="19.95" customHeight="1" x14ac:dyDescent="0.45">
      <c r="D70" s="41"/>
      <c r="E70" s="187" t="s">
        <v>583</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584</v>
      </c>
      <c r="F71" s="46" t="str" cm="1">
        <f t="array" aca="1" ref="F71" ca="1">HYPERLINK(INDIRECT(C71),D71)</f>
        <v>標準化・ガバメントクラウド推進部</v>
      </c>
      <c r="G71" s="45"/>
    </row>
    <row r="72" spans="2:7" ht="19.95" customHeight="1" x14ac:dyDescent="0.45">
      <c r="D72" s="36"/>
      <c r="E72" s="106" t="s">
        <v>585</v>
      </c>
      <c r="F72" s="40"/>
      <c r="G72" s="39"/>
    </row>
    <row r="73" spans="2:7" ht="19.95" customHeight="1" x14ac:dyDescent="0.45">
      <c r="D73" s="36"/>
      <c r="E73" s="106" t="s">
        <v>586</v>
      </c>
      <c r="F73" s="40"/>
      <c r="G73" s="39"/>
    </row>
    <row r="74" spans="2:7" ht="19.95" customHeight="1" x14ac:dyDescent="0.45">
      <c r="D74" s="36"/>
      <c r="E74" s="106" t="s">
        <v>587</v>
      </c>
      <c r="F74" s="40"/>
      <c r="G74" s="39"/>
    </row>
    <row r="75" spans="2:7" ht="19.95" customHeight="1" x14ac:dyDescent="0.45">
      <c r="D75" s="41"/>
      <c r="E75" s="107" t="s">
        <v>588</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40" t="s">
        <v>589</v>
      </c>
      <c r="F77" s="40"/>
      <c r="G77" s="39"/>
    </row>
    <row r="78" spans="2:7" ht="19.95" customHeight="1" x14ac:dyDescent="0.45">
      <c r="D78" s="36"/>
      <c r="E78" s="143" t="s">
        <v>102</v>
      </c>
      <c r="F78" s="40"/>
      <c r="G78" s="39"/>
    </row>
    <row r="79" spans="2:7" ht="19.95" customHeight="1" x14ac:dyDescent="0.45">
      <c r="D79" s="36"/>
      <c r="E79" s="140" t="s">
        <v>590</v>
      </c>
      <c r="F79" s="40"/>
      <c r="G79" s="39"/>
    </row>
    <row r="80" spans="2:7" ht="19.95" customHeight="1" x14ac:dyDescent="0.45">
      <c r="D80" s="41"/>
      <c r="E80" s="187" t="s">
        <v>591</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06" t="s">
        <v>592</v>
      </c>
      <c r="F81" s="46" t="str" cm="1">
        <f t="array" aca="1" ref="F81" ca="1">HYPERLINK(INDIRECT(C81),D81)</f>
        <v>DXビジネスプロデュース部</v>
      </c>
      <c r="G81" s="45"/>
    </row>
    <row r="82" spans="2:7" ht="19.95" customHeight="1" x14ac:dyDescent="0.45">
      <c r="D82" s="36"/>
      <c r="E82" s="106" t="s">
        <v>593</v>
      </c>
      <c r="F82" s="40"/>
      <c r="G82" s="39"/>
    </row>
    <row r="83" spans="2:7" ht="19.95" customHeight="1" x14ac:dyDescent="0.45">
      <c r="D83" s="36"/>
      <c r="E83" s="106" t="s">
        <v>594</v>
      </c>
      <c r="F83" s="40"/>
      <c r="G83" s="39"/>
    </row>
    <row r="84" spans="2:7" ht="19.95" customHeight="1" x14ac:dyDescent="0.45">
      <c r="D84" s="36"/>
      <c r="E84" s="106" t="s">
        <v>595</v>
      </c>
      <c r="F84" s="40"/>
      <c r="G84" s="39"/>
    </row>
    <row r="85" spans="2:7" ht="19.95" customHeight="1" x14ac:dyDescent="0.45">
      <c r="D85" s="41"/>
      <c r="E85" s="106" t="s">
        <v>596</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183" t="s">
        <v>597</v>
      </c>
      <c r="F86" s="46" t="str" cm="1">
        <f t="array" aca="1" ref="F86" ca="1">HYPERLINK(INDIRECT(C86),D86)</f>
        <v>九州ビジネスプロデュース部</v>
      </c>
      <c r="G86" s="45"/>
    </row>
    <row r="87" spans="2:7" ht="19.95" customHeight="1" x14ac:dyDescent="0.45">
      <c r="D87" s="36"/>
      <c r="E87" s="169" t="s">
        <v>598</v>
      </c>
      <c r="F87" s="40"/>
      <c r="G87" s="39"/>
    </row>
    <row r="88" spans="2:7" ht="19.95" customHeight="1" x14ac:dyDescent="0.45">
      <c r="D88" s="36"/>
      <c r="E88" s="169" t="s">
        <v>599</v>
      </c>
      <c r="F88" s="40"/>
      <c r="G88" s="39"/>
    </row>
    <row r="89" spans="2:7" ht="19.95" customHeight="1" x14ac:dyDescent="0.45">
      <c r="D89" s="36"/>
      <c r="E89" s="169" t="s">
        <v>600</v>
      </c>
      <c r="F89" s="40"/>
      <c r="G89" s="39"/>
    </row>
    <row r="90" spans="2:7" ht="19.95" customHeight="1" x14ac:dyDescent="0.45">
      <c r="D90" s="41"/>
      <c r="E90" s="184" t="s">
        <v>601</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602</v>
      </c>
      <c r="F91" s="46" t="str" cm="1">
        <f t="array" aca="1" ref="F91" ca="1">HYPERLINK(INDIRECT(C91),D91)</f>
        <v>DXビジネスソリューション部</v>
      </c>
      <c r="G91" s="45"/>
    </row>
    <row r="92" spans="2:7" ht="19.95" customHeight="1" x14ac:dyDescent="0.45">
      <c r="D92" s="36"/>
      <c r="E92" s="106" t="s">
        <v>603</v>
      </c>
      <c r="F92" s="40"/>
      <c r="G92" s="39"/>
    </row>
    <row r="93" spans="2:7" ht="19.95" customHeight="1" x14ac:dyDescent="0.45">
      <c r="D93" s="36"/>
      <c r="E93" s="106" t="s">
        <v>604</v>
      </c>
      <c r="F93" s="40"/>
      <c r="G93" s="39"/>
    </row>
    <row r="94" spans="2:7" ht="19.95" customHeight="1" x14ac:dyDescent="0.45">
      <c r="D94" s="36"/>
      <c r="E94" s="106" t="s">
        <v>605</v>
      </c>
      <c r="F94" s="40"/>
      <c r="G94" s="39"/>
    </row>
    <row r="95" spans="2:7" ht="19.95" customHeight="1" x14ac:dyDescent="0.45">
      <c r="D95" s="41"/>
      <c r="E95" s="107" t="s">
        <v>606</v>
      </c>
      <c r="F95" s="42"/>
      <c r="G95" s="43"/>
    </row>
    <row r="96" spans="2:7" ht="19.95" customHeight="1" x14ac:dyDescent="0.45">
      <c r="B96" s="23">
        <f t="shared" ref="B96" si="9">B91+1</f>
        <v>19</v>
      </c>
      <c r="C96" s="24" t="str">
        <f>"ﾘｽﾄ!C"&amp;B96+2</f>
        <v>ﾘｽﾄ!C21</v>
      </c>
      <c r="D96" s="44" t="str">
        <f>IFERROR(VLOOKUP($B96,ﾘｽﾄ!A:B,2,FALSE),"")</f>
        <v>システムサービス部</v>
      </c>
      <c r="E96" s="135" t="s">
        <v>607</v>
      </c>
      <c r="F96" s="46" t="str" cm="1">
        <f t="array" aca="1" ref="F96" ca="1">HYPERLINK(INDIRECT(C96),D96)</f>
        <v>システムサービス部</v>
      </c>
      <c r="G96" s="45"/>
    </row>
    <row r="97" spans="2:7" ht="19.95" customHeight="1" x14ac:dyDescent="0.45">
      <c r="D97" s="36"/>
      <c r="E97" s="159" t="s">
        <v>608</v>
      </c>
      <c r="F97" s="40"/>
      <c r="G97" s="39"/>
    </row>
    <row r="98" spans="2:7" ht="19.95" customHeight="1" x14ac:dyDescent="0.45">
      <c r="D98" s="36"/>
      <c r="E98" s="106" t="s">
        <v>609</v>
      </c>
      <c r="F98" s="40"/>
      <c r="G98" s="39"/>
    </row>
    <row r="99" spans="2:7" ht="19.95" customHeight="1" x14ac:dyDescent="0.45">
      <c r="D99" s="36"/>
      <c r="E99" s="106" t="s">
        <v>610</v>
      </c>
      <c r="F99" s="40"/>
      <c r="G99" s="39"/>
    </row>
    <row r="100" spans="2:7" ht="19.95" customHeight="1" x14ac:dyDescent="0.45">
      <c r="D100" s="41"/>
      <c r="E100" s="154" t="s">
        <v>611</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612</v>
      </c>
      <c r="F101" s="46" t="str" cm="1">
        <f t="array" aca="1" ref="F101" ca="1">HYPERLINK(INDIRECT(C101),D101)</f>
        <v>DX・海外連携推進室</v>
      </c>
      <c r="G101" s="45"/>
    </row>
    <row r="102" spans="2:7" ht="19.95" customHeight="1" x14ac:dyDescent="0.45">
      <c r="D102" s="36"/>
      <c r="E102" s="106" t="s">
        <v>613</v>
      </c>
      <c r="F102" s="40"/>
      <c r="G102" s="39"/>
    </row>
    <row r="103" spans="2:7" ht="19.95" customHeight="1" x14ac:dyDescent="0.45">
      <c r="D103" s="36"/>
      <c r="E103" s="106" t="s">
        <v>614</v>
      </c>
      <c r="F103" s="40"/>
      <c r="G103" s="39"/>
    </row>
    <row r="104" spans="2:7" ht="19.95" customHeight="1" x14ac:dyDescent="0.45">
      <c r="D104" s="36"/>
      <c r="E104" s="106" t="s">
        <v>615</v>
      </c>
      <c r="F104" s="40"/>
      <c r="G104" s="39"/>
    </row>
    <row r="105" spans="2:7" ht="19.95" customHeight="1" x14ac:dyDescent="0.45">
      <c r="D105" s="41"/>
      <c r="E105" s="107" t="s">
        <v>616</v>
      </c>
      <c r="F105" s="42"/>
      <c r="G105" s="43"/>
    </row>
    <row r="106" spans="2:7" ht="19.95" customHeight="1" x14ac:dyDescent="0.45">
      <c r="B106" s="23">
        <f t="shared" ref="B106" si="11">B101+1</f>
        <v>21</v>
      </c>
      <c r="C106" s="24" t="str">
        <f>"ﾘｽﾄ!C"&amp;B106+2</f>
        <v>ﾘｽﾄ!C23</v>
      </c>
      <c r="D106" s="44" t="str">
        <f>IFERROR(VLOOKUP($B106,ﾘｽﾄ!A:B,2,FALSE),"")</f>
        <v>DX推進部</v>
      </c>
      <c r="E106" s="108" t="s">
        <v>617</v>
      </c>
      <c r="F106" s="46" t="str" cm="1">
        <f t="array" aca="1" ref="F106" ca="1">HYPERLINK(INDIRECT(C106),D106)</f>
        <v>DX推進部</v>
      </c>
      <c r="G106" s="45"/>
    </row>
    <row r="107" spans="2:7" ht="19.95" customHeight="1" x14ac:dyDescent="0.45">
      <c r="D107" s="36"/>
      <c r="E107" s="106" t="s">
        <v>618</v>
      </c>
      <c r="F107" s="40"/>
      <c r="G107" s="39"/>
    </row>
    <row r="108" spans="2:7" ht="19.95" customHeight="1" x14ac:dyDescent="0.45">
      <c r="D108" s="36"/>
      <c r="E108" s="106" t="s">
        <v>619</v>
      </c>
      <c r="F108" s="40"/>
      <c r="G108" s="39"/>
    </row>
    <row r="109" spans="2:7" ht="19.95" customHeight="1" x14ac:dyDescent="0.45">
      <c r="D109" s="36"/>
      <c r="E109" s="106" t="s">
        <v>620</v>
      </c>
      <c r="F109" s="40"/>
      <c r="G109" s="39"/>
    </row>
    <row r="110" spans="2:7" ht="19.95" customHeight="1" x14ac:dyDescent="0.45">
      <c r="D110" s="41"/>
      <c r="E110" s="107" t="s">
        <v>621</v>
      </c>
      <c r="F110" s="42"/>
      <c r="G110" s="170" t="s">
        <v>622</v>
      </c>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623</v>
      </c>
      <c r="F116" s="46" t="str" cm="1">
        <f t="array" aca="1" ref="F116" ca="1">HYPERLINK(INDIRECT(C116),D116)</f>
        <v>ビジネスプロデュース部</v>
      </c>
      <c r="G116" s="45"/>
    </row>
    <row r="117" spans="2:7" ht="19.95" customHeight="1" x14ac:dyDescent="0.45">
      <c r="D117" s="36"/>
      <c r="E117" s="106" t="s">
        <v>624</v>
      </c>
      <c r="F117" s="40"/>
      <c r="G117" s="39"/>
    </row>
    <row r="118" spans="2:7" ht="19.95" customHeight="1" x14ac:dyDescent="0.45">
      <c r="D118" s="36"/>
      <c r="E118" s="106" t="s">
        <v>625</v>
      </c>
      <c r="F118" s="40"/>
      <c r="G118" s="39"/>
    </row>
    <row r="119" spans="2:7" ht="19.95" customHeight="1" x14ac:dyDescent="0.45">
      <c r="D119" s="36"/>
      <c r="E119" s="106" t="s">
        <v>626</v>
      </c>
      <c r="F119" s="40"/>
      <c r="G119" s="39"/>
    </row>
    <row r="120" spans="2:7" ht="19.95" customHeight="1" x14ac:dyDescent="0.45">
      <c r="D120" s="36"/>
      <c r="E120" s="106" t="s">
        <v>627</v>
      </c>
      <c r="F120" s="40"/>
      <c r="G120" s="39"/>
    </row>
    <row r="121" spans="2:7" ht="19.95" customHeight="1" x14ac:dyDescent="0.45">
      <c r="D121" s="41"/>
      <c r="E121" s="107" t="s">
        <v>628</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629</v>
      </c>
      <c r="F122" s="46" t="str" cm="1">
        <f t="array" aca="1" ref="F122" ca="1">HYPERLINK(INDIRECT(C122),D122)</f>
        <v>インフラビジネス推進部</v>
      </c>
      <c r="G122" s="45"/>
    </row>
    <row r="123" spans="2:7" ht="19.95" customHeight="1" x14ac:dyDescent="0.45">
      <c r="D123" s="36"/>
      <c r="E123" s="106" t="s">
        <v>630</v>
      </c>
      <c r="F123" s="40"/>
      <c r="G123" s="39"/>
    </row>
    <row r="124" spans="2:7" ht="19.95" customHeight="1" x14ac:dyDescent="0.45">
      <c r="D124" s="36"/>
      <c r="E124" s="174" t="s">
        <v>481</v>
      </c>
      <c r="F124" s="40"/>
      <c r="G124" s="39"/>
    </row>
    <row r="125" spans="2:7" ht="19.95" customHeight="1" x14ac:dyDescent="0.45">
      <c r="D125" s="36"/>
      <c r="E125" s="174" t="s">
        <v>318</v>
      </c>
      <c r="F125" s="40"/>
      <c r="G125" s="39" t="s">
        <v>148</v>
      </c>
    </row>
    <row r="126" spans="2:7" ht="19.95" customHeight="1" x14ac:dyDescent="0.45">
      <c r="D126" s="41"/>
      <c r="E126" s="107" t="s">
        <v>631</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632</v>
      </c>
      <c r="F132" s="46" t="str" cm="1">
        <f t="array" aca="1" ref="F132" ca="1">HYPERLINK(INDIRECT(C132),D132)</f>
        <v>西日本支社</v>
      </c>
      <c r="G132" s="45"/>
    </row>
    <row r="133" spans="2:7" ht="19.95" customHeight="1" x14ac:dyDescent="0.45">
      <c r="D133" s="36"/>
      <c r="E133" s="106" t="s">
        <v>633</v>
      </c>
      <c r="F133" s="40"/>
      <c r="G133" s="39"/>
    </row>
    <row r="134" spans="2:7" ht="19.95" customHeight="1" x14ac:dyDescent="0.45">
      <c r="D134" s="36"/>
      <c r="E134" s="154" t="s">
        <v>634</v>
      </c>
      <c r="F134" s="40"/>
      <c r="G134" s="39"/>
    </row>
    <row r="135" spans="2:7" ht="19.95" customHeight="1" x14ac:dyDescent="0.45">
      <c r="D135" s="36"/>
      <c r="E135" s="106" t="s">
        <v>485</v>
      </c>
      <c r="F135" s="40"/>
      <c r="G135" s="39"/>
    </row>
    <row r="136" spans="2:7" ht="19.95" customHeight="1" x14ac:dyDescent="0.45">
      <c r="D136" s="41"/>
      <c r="E136" s="107" t="s">
        <v>635</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636</v>
      </c>
      <c r="F137" s="46" t="str" cm="1">
        <f t="array" aca="1" ref="F137" ca="1">HYPERLINK(INDIRECT(C137),D137)</f>
        <v>福岡支社</v>
      </c>
      <c r="G137" s="45"/>
    </row>
    <row r="138" spans="2:7" ht="19.95" customHeight="1" x14ac:dyDescent="0.45">
      <c r="D138" s="36"/>
      <c r="E138" s="149" t="s">
        <v>637</v>
      </c>
      <c r="F138" s="40"/>
      <c r="G138" s="39"/>
    </row>
    <row r="139" spans="2:7" ht="19.95" customHeight="1" x14ac:dyDescent="0.45">
      <c r="D139" s="36"/>
      <c r="E139" s="149" t="s">
        <v>638</v>
      </c>
      <c r="F139" s="40"/>
      <c r="G139" s="39"/>
    </row>
    <row r="140" spans="2:7" ht="19.95" customHeight="1" x14ac:dyDescent="0.45">
      <c r="D140" s="36"/>
      <c r="E140" s="149" t="s">
        <v>639</v>
      </c>
      <c r="F140" s="40"/>
      <c r="G140" s="39"/>
    </row>
    <row r="141" spans="2:7" ht="19.95" customHeight="1" x14ac:dyDescent="0.45">
      <c r="D141" s="41"/>
      <c r="E141" s="149" t="s">
        <v>640</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14" t="s">
        <v>641</v>
      </c>
      <c r="F142" s="46" t="str" cm="1">
        <f t="array" aca="1" ref="F142" ca="1">HYPERLINK(INDIRECT(C142),D142)</f>
        <v>公共ソリューション部</v>
      </c>
      <c r="G142" s="45"/>
    </row>
    <row r="143" spans="2:7" ht="19.95" customHeight="1" x14ac:dyDescent="0.45">
      <c r="D143" s="36"/>
      <c r="E143" s="115" t="s">
        <v>642</v>
      </c>
      <c r="F143" s="40"/>
      <c r="G143" s="39"/>
    </row>
    <row r="144" spans="2:7" ht="19.95" customHeight="1" x14ac:dyDescent="0.45">
      <c r="D144" s="36"/>
      <c r="E144" s="106"/>
      <c r="F144" s="40"/>
      <c r="G144" s="39"/>
    </row>
    <row r="145" spans="2:7" ht="19.95" customHeight="1" x14ac:dyDescent="0.45">
      <c r="D145" s="36"/>
      <c r="E145" s="106"/>
      <c r="F145" s="40"/>
      <c r="G145" s="39"/>
    </row>
    <row r="146" spans="2:7" ht="19.95" customHeight="1" x14ac:dyDescent="0.45">
      <c r="D146" s="41"/>
      <c r="E146" s="107"/>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42" t="s">
        <v>643</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644</v>
      </c>
      <c r="F149" s="40"/>
      <c r="G149" s="39"/>
    </row>
    <row r="150" spans="2:7" ht="19.95" customHeight="1" x14ac:dyDescent="0.45">
      <c r="D150" s="36"/>
      <c r="E150" s="140" t="s">
        <v>645</v>
      </c>
      <c r="F150" s="40"/>
      <c r="G150" s="39"/>
    </row>
    <row r="151" spans="2:7" ht="19.95" customHeight="1" x14ac:dyDescent="0.45">
      <c r="D151" s="36"/>
      <c r="E151" s="106" t="s">
        <v>646</v>
      </c>
      <c r="F151" s="40"/>
      <c r="G151" s="39"/>
    </row>
    <row r="152" spans="2:7" ht="19.95" customHeight="1" x14ac:dyDescent="0.45">
      <c r="D152" s="41"/>
      <c r="E152" s="107" t="s">
        <v>647</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648</v>
      </c>
      <c r="F153" s="46" t="str" cm="1">
        <f t="array" aca="1" ref="F153" ca="1">HYPERLINK(INDIRECT(C153),D153)</f>
        <v>公共ソリューション開発センター</v>
      </c>
      <c r="G153" s="45"/>
    </row>
    <row r="154" spans="2:7" ht="19.95" customHeight="1" x14ac:dyDescent="0.45">
      <c r="D154" s="36"/>
      <c r="E154" s="106" t="s">
        <v>341</v>
      </c>
      <c r="F154" s="40"/>
      <c r="G154" s="39"/>
    </row>
    <row r="155" spans="2:7" ht="19.95" customHeight="1" x14ac:dyDescent="0.45">
      <c r="D155" s="36"/>
      <c r="E155" s="106" t="s">
        <v>499</v>
      </c>
      <c r="F155" s="40"/>
      <c r="G155" s="39"/>
    </row>
    <row r="156" spans="2:7" ht="19.95" customHeight="1" x14ac:dyDescent="0.45">
      <c r="D156" s="36"/>
      <c r="E156" s="106" t="s">
        <v>649</v>
      </c>
      <c r="F156" s="40"/>
      <c r="G156" s="39"/>
    </row>
    <row r="157" spans="2:7" ht="19.95" customHeight="1" x14ac:dyDescent="0.45">
      <c r="D157" s="41"/>
      <c r="E157" s="107" t="s">
        <v>650</v>
      </c>
      <c r="F157" s="42"/>
      <c r="G157" s="43"/>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c r="F158" s="46" t="str" cm="1">
        <f t="array" aca="1" ref="F158" ca="1">HYPERLINK(INDIRECT(C158),D158)</f>
        <v>システムプロデュース事業部</v>
      </c>
      <c r="G158" s="45"/>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651</v>
      </c>
      <c r="F163" s="46" t="str" cm="1">
        <f t="array" aca="1" ref="F163" ca="1">HYPERLINK(INDIRECT(C163),D163)</f>
        <v>デジタルイノベーション推進部</v>
      </c>
      <c r="G163" s="45"/>
    </row>
    <row r="164" spans="2:7" ht="19.95" customHeight="1" x14ac:dyDescent="0.45">
      <c r="D164" s="36"/>
      <c r="E164" s="106" t="s">
        <v>652</v>
      </c>
      <c r="F164" s="40"/>
      <c r="G164" s="39"/>
    </row>
    <row r="165" spans="2:7" ht="19.95" customHeight="1" x14ac:dyDescent="0.45">
      <c r="D165" s="36"/>
      <c r="E165" s="106" t="s">
        <v>179</v>
      </c>
      <c r="F165" s="40"/>
      <c r="G165" s="39"/>
    </row>
    <row r="166" spans="2:7" ht="19.95" customHeight="1" x14ac:dyDescent="0.45">
      <c r="D166" s="36"/>
      <c r="E166" s="106" t="s">
        <v>653</v>
      </c>
      <c r="F166" s="40"/>
      <c r="G166" s="39"/>
    </row>
    <row r="167" spans="2:7" ht="19.95" customHeight="1" x14ac:dyDescent="0.45">
      <c r="D167" s="41"/>
      <c r="E167" s="107" t="s">
        <v>654</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504</v>
      </c>
      <c r="F168" s="46" t="str" cm="1">
        <f t="array" aca="1" ref="F168" ca="1">HYPERLINK(INDIRECT(C168),D168)</f>
        <v>施設予約サービス部</v>
      </c>
      <c r="G168" s="45"/>
    </row>
    <row r="169" spans="2:7" ht="19.95" customHeight="1" x14ac:dyDescent="0.45">
      <c r="D169" s="36"/>
      <c r="E169" s="106" t="s">
        <v>655</v>
      </c>
      <c r="F169" s="40"/>
      <c r="G169" s="39"/>
    </row>
    <row r="170" spans="2:7" ht="19.95" customHeight="1" x14ac:dyDescent="0.45">
      <c r="D170" s="36"/>
      <c r="E170" s="106" t="s">
        <v>656</v>
      </c>
      <c r="F170" s="40"/>
      <c r="G170" s="39"/>
    </row>
    <row r="171" spans="2:7" ht="19.95" customHeight="1" x14ac:dyDescent="0.45">
      <c r="D171" s="36"/>
      <c r="E171" s="106" t="s">
        <v>657</v>
      </c>
      <c r="F171" s="40"/>
      <c r="G171" s="39"/>
    </row>
    <row r="172" spans="2:7" ht="19.95" customHeight="1" x14ac:dyDescent="0.45">
      <c r="D172" s="41"/>
      <c r="E172" s="107" t="s">
        <v>658</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187</v>
      </c>
      <c r="F173" s="46" t="str" cm="1">
        <f t="array" aca="1" ref="F173" ca="1">HYPERLINK(INDIRECT(C173),D173)</f>
        <v>ソリューションサービス部</v>
      </c>
      <c r="G173" s="45" t="s">
        <v>659</v>
      </c>
    </row>
    <row r="174" spans="2:7" ht="19.95" customHeight="1" x14ac:dyDescent="0.45">
      <c r="D174" s="36"/>
      <c r="E174" s="106" t="s">
        <v>660</v>
      </c>
      <c r="F174" s="40"/>
      <c r="G174" s="39"/>
    </row>
    <row r="175" spans="2:7" ht="19.95" customHeight="1" x14ac:dyDescent="0.45">
      <c r="D175" s="36"/>
      <c r="E175" s="106" t="s">
        <v>355</v>
      </c>
      <c r="F175" s="40"/>
      <c r="G175" s="39"/>
    </row>
    <row r="176" spans="2:7" ht="19.95" customHeight="1" x14ac:dyDescent="0.45">
      <c r="D176" s="36"/>
      <c r="E176" s="106" t="s">
        <v>661</v>
      </c>
      <c r="F176" s="40"/>
      <c r="G176" s="39"/>
    </row>
    <row r="177" spans="2:7" ht="19.95" customHeight="1" x14ac:dyDescent="0.45">
      <c r="D177" s="41"/>
      <c r="E177" s="107" t="s">
        <v>662</v>
      </c>
      <c r="F177" s="42"/>
      <c r="G177" s="43" t="s">
        <v>663</v>
      </c>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664</v>
      </c>
      <c r="F183" s="46" t="str" cm="1">
        <f t="array" aca="1" ref="F183" ca="1">HYPERLINK(INDIRECT(C183),D183)</f>
        <v>東京本社マネジメント推進部</v>
      </c>
      <c r="G183" s="45"/>
    </row>
    <row r="184" spans="2:7" ht="19.95" customHeight="1" x14ac:dyDescent="0.45">
      <c r="D184" s="36"/>
      <c r="E184" s="154" t="s">
        <v>194</v>
      </c>
      <c r="F184" s="40"/>
      <c r="G184" s="39"/>
    </row>
    <row r="185" spans="2:7" ht="19.95" customHeight="1" x14ac:dyDescent="0.45">
      <c r="D185" s="36"/>
      <c r="E185" s="106" t="s">
        <v>665</v>
      </c>
      <c r="F185" s="40"/>
      <c r="G185" s="39"/>
    </row>
    <row r="186" spans="2:7" ht="19.95" customHeight="1" x14ac:dyDescent="0.45">
      <c r="D186" s="36"/>
      <c r="E186" s="106" t="s">
        <v>666</v>
      </c>
      <c r="F186" s="40"/>
      <c r="G186" s="39"/>
    </row>
    <row r="187" spans="2:7" ht="19.95" customHeight="1" x14ac:dyDescent="0.45">
      <c r="D187" s="41"/>
      <c r="E187" s="154" t="s">
        <v>516</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E191" s="106"/>
      <c r="F191" s="40"/>
      <c r="G191" s="39"/>
    </row>
    <row r="192" spans="2:7" ht="19.95" customHeight="1" x14ac:dyDescent="0.45">
      <c r="D192" s="47"/>
      <c r="E192" s="107"/>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t="s">
        <v>667</v>
      </c>
      <c r="F193" s="46" t="str" cm="1">
        <f t="array" aca="1" ref="F193" ca="1">HYPERLINK(INDIRECT(C193),D193)</f>
        <v>中島常務執行役員</v>
      </c>
      <c r="G193" s="45"/>
    </row>
    <row r="194" spans="2:7" ht="19.95" customHeight="1" x14ac:dyDescent="0.45">
      <c r="D194" s="36"/>
      <c r="E194" s="106" t="s">
        <v>668</v>
      </c>
      <c r="F194" s="40"/>
      <c r="G194" s="39"/>
    </row>
    <row r="195" spans="2:7" ht="19.95" customHeight="1" x14ac:dyDescent="0.45">
      <c r="D195" s="36"/>
      <c r="E195" s="106" t="s">
        <v>669</v>
      </c>
      <c r="F195" s="40"/>
      <c r="G195" s="39"/>
    </row>
    <row r="196" spans="2:7" ht="19.95" customHeight="1" x14ac:dyDescent="0.45">
      <c r="D196" s="36"/>
      <c r="E196" s="106"/>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t="s">
        <v>670</v>
      </c>
      <c r="F198" s="46" t="str" cm="1">
        <f t="array" aca="1" ref="F198" ca="1">HYPERLINK(INDIRECT(C198),D198)</f>
        <v>河野取締役</v>
      </c>
      <c r="G198" s="45"/>
    </row>
    <row r="199" spans="2:7" ht="19.95" customHeight="1" x14ac:dyDescent="0.45">
      <c r="D199" s="36"/>
      <c r="E199" s="106" t="s">
        <v>671</v>
      </c>
      <c r="F199" s="40"/>
      <c r="G199" s="39"/>
    </row>
    <row r="200" spans="2:7" ht="19.95" customHeight="1" x14ac:dyDescent="0.45">
      <c r="D200" s="36"/>
      <c r="E200" s="106" t="s">
        <v>672</v>
      </c>
      <c r="F200" s="40"/>
      <c r="G200" s="39"/>
    </row>
    <row r="201" spans="2:7" ht="19.95" customHeight="1" x14ac:dyDescent="0.45">
      <c r="D201" s="36"/>
      <c r="E201" s="106" t="s">
        <v>673</v>
      </c>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c r="F213" s="46" t="str" cm="1">
        <f t="array" aca="1" ref="F213" ca="1">HYPERLINK(INDIRECT(C213),D213)</f>
        <v>加藤社長</v>
      </c>
      <c r="G213" s="45"/>
    </row>
    <row r="214" spans="2:7" ht="19.95" customHeight="1" x14ac:dyDescent="0.45">
      <c r="D214" s="36"/>
      <c r="E214" s="106"/>
      <c r="F214" s="40"/>
      <c r="G214" s="39"/>
    </row>
    <row r="215" spans="2:7" ht="19.95" customHeight="1" x14ac:dyDescent="0.45">
      <c r="D215" s="36"/>
      <c r="E215" s="106"/>
      <c r="F215" s="40"/>
      <c r="G215" s="39"/>
    </row>
    <row r="216" spans="2:7" ht="19.95" customHeight="1" x14ac:dyDescent="0.45">
      <c r="D216" s="36"/>
      <c r="E216" s="106"/>
      <c r="F216" s="40"/>
      <c r="G216" s="39"/>
    </row>
    <row r="217" spans="2:7" ht="19.95" customHeight="1" thickBot="1" x14ac:dyDescent="0.5">
      <c r="D217" s="48"/>
      <c r="E217" s="109"/>
      <c r="F217" s="49"/>
      <c r="G217" s="50"/>
    </row>
    <row r="218" spans="2:7" x14ac:dyDescent="0.45">
      <c r="D218" s="111"/>
      <c r="E218" s="112"/>
      <c r="F218" s="113"/>
      <c r="G218" s="112"/>
    </row>
  </sheetData>
  <sheetProtection algorithmName="SHA-512" hashValue="lnMimLMtk8j+CvEUMzsgZfUhZrNMKBP3q31u4nzuuOUDdmSdczBO/woQitdvCkbtblGY4ZUqxQQ913hBuWlKig==" saltValue="aaf2RoONilPo4K1+CtUudw==" spinCount="100000" sheet="1" objects="1" scenarios="1"/>
  <phoneticPr fontId="1"/>
  <hyperlinks>
    <hyperlink ref="F1" location="ﾘｽﾄ!A1" display="格納先一覧はこちら" xr:uid="{34191DAE-6A75-487C-859D-1B8817A6E71D}"/>
    <hyperlink ref="G110" r:id="rId1" xr:uid="{DAB8A2AE-1A99-4F8A-874B-1A9C2B665B18}"/>
    <hyperlink ref="G32" r:id="rId2" xr:uid="{FB1B0B8C-B14F-4803-A020-25B0EEFCE0EE}"/>
    <hyperlink ref="G33" r:id="rId3" xr:uid="{85A74AB7-4509-4B58-A404-A2FDF4305327}"/>
  </hyperlinks>
  <printOptions horizontalCentered="1"/>
  <pageMargins left="0" right="0" top="0" bottom="0" header="0.31496062992125984" footer="0.31496062992125984"/>
  <pageSetup paperSize="8" scale="72" fitToHeight="3" orientation="portrait" horizontalDpi="1200" verticalDpi="1200" r:id="rId4"/>
  <rowBreaks count="2" manualBreakCount="2">
    <brk id="80" min="3" max="6" man="1"/>
    <brk id="146" min="3"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7D75B-86C9-497A-8844-9D8A83652954}">
  <sheetPr codeName="Sheet7">
    <tabColor rgb="FFFFFF00"/>
  </sheetPr>
  <dimension ref="A1:G218"/>
  <sheetViews>
    <sheetView showGridLines="0" zoomScale="80" zoomScaleNormal="80" workbookViewId="0">
      <pane ySplit="4" topLeftCell="A30" activePane="bottomLeft" state="frozen"/>
      <selection activeCell="D1" sqref="D1"/>
      <selection pane="bottomLeft" activeCell="E19" sqref="E19"/>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5</v>
      </c>
      <c r="E1" s="30" t="s">
        <v>7</v>
      </c>
      <c r="F1" s="51" t="s">
        <v>8</v>
      </c>
      <c r="G1" s="52" t="s">
        <v>9</v>
      </c>
    </row>
    <row r="2" spans="1:7" x14ac:dyDescent="0.45">
      <c r="A2" s="26" cm="1">
        <f t="array" aca="1" ref="A2" ca="1">VALUE(MID(CELL("filename",A2),FIND("]",CELL("filename",A2))+1,99))</f>
        <v>5</v>
      </c>
      <c r="B2" s="27"/>
      <c r="C2" s="28"/>
      <c r="D2" s="95" t="s">
        <v>10</v>
      </c>
      <c r="G2" s="101" t="s">
        <v>11</v>
      </c>
    </row>
    <row r="3" spans="1:7" ht="24.6" customHeight="1" thickBot="1" x14ac:dyDescent="0.5">
      <c r="A3" s="26"/>
      <c r="D3" s="93">
        <f>IFERROR(VLOOKUP($A$1,目次!$C$5:$I$100,5,FALSE),"")</f>
        <v>45422</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373</v>
      </c>
      <c r="F5" s="37" t="str" cm="1">
        <f t="array" aca="1" ref="F5" ca="1">HYPERLINK(INDIRECT(C5),D5)</f>
        <v>総務部</v>
      </c>
      <c r="G5" s="38"/>
    </row>
    <row r="6" spans="1:7" ht="19.95" customHeight="1" x14ac:dyDescent="0.45">
      <c r="D6" s="36"/>
      <c r="E6" s="177" t="s">
        <v>674</v>
      </c>
      <c r="F6" s="37"/>
      <c r="G6" s="39"/>
    </row>
    <row r="7" spans="1:7" ht="19.95" customHeight="1" x14ac:dyDescent="0.45">
      <c r="D7" s="36"/>
      <c r="E7" s="106" t="s">
        <v>675</v>
      </c>
      <c r="F7" s="40"/>
      <c r="G7" s="39"/>
    </row>
    <row r="8" spans="1:7" ht="19.95" customHeight="1" x14ac:dyDescent="0.45">
      <c r="D8" s="36"/>
      <c r="E8" s="106" t="s">
        <v>676</v>
      </c>
      <c r="F8" s="40"/>
      <c r="G8" s="39"/>
    </row>
    <row r="9" spans="1:7" ht="19.95" customHeight="1" x14ac:dyDescent="0.45">
      <c r="D9" s="41"/>
      <c r="E9" s="107" t="s">
        <v>527</v>
      </c>
      <c r="F9" s="42"/>
      <c r="G9" s="43"/>
    </row>
    <row r="10" spans="1:7" ht="19.95" customHeight="1" x14ac:dyDescent="0.45">
      <c r="B10" s="23">
        <f>B5+1</f>
        <v>2</v>
      </c>
      <c r="C10" s="24" t="str">
        <f>"ﾘｽﾄ!C"&amp;B10+2</f>
        <v>ﾘｽﾄ!C4</v>
      </c>
      <c r="D10" s="44" t="str">
        <f>IFERROR(VLOOKUP($B10,ﾘｽﾄ!A:B,2,FALSE),"")</f>
        <v>人事部</v>
      </c>
      <c r="E10" s="151" t="s">
        <v>677</v>
      </c>
      <c r="F10" s="37" t="str" cm="1">
        <f t="array" aca="1" ref="F10" ca="1">HYPERLINK(INDIRECT(C10),D10)</f>
        <v>人事部</v>
      </c>
      <c r="G10" s="45"/>
    </row>
    <row r="11" spans="1:7" ht="19.95" customHeight="1" x14ac:dyDescent="0.45">
      <c r="D11" s="36"/>
      <c r="E11" s="152" t="s">
        <v>678</v>
      </c>
      <c r="F11" s="37"/>
      <c r="G11" s="39"/>
    </row>
    <row r="12" spans="1:7" ht="19.95" customHeight="1" x14ac:dyDescent="0.45">
      <c r="D12" s="36"/>
      <c r="E12" s="152" t="s">
        <v>679</v>
      </c>
      <c r="F12" s="37"/>
      <c r="G12" s="39"/>
    </row>
    <row r="13" spans="1:7" ht="19.95" customHeight="1" x14ac:dyDescent="0.45">
      <c r="D13" s="36"/>
      <c r="E13" s="199" t="s">
        <v>680</v>
      </c>
      <c r="F13" s="40"/>
      <c r="G13" s="39"/>
    </row>
    <row r="14" spans="1:7" ht="19.95" customHeight="1" x14ac:dyDescent="0.45">
      <c r="D14" s="41"/>
      <c r="E14" s="200" t="s">
        <v>681</v>
      </c>
      <c r="F14" s="42"/>
      <c r="G14" s="43"/>
    </row>
    <row r="15" spans="1:7" ht="19.95" customHeight="1" x14ac:dyDescent="0.45">
      <c r="B15" s="23">
        <f>B10+1</f>
        <v>3</v>
      </c>
      <c r="C15" s="24" t="str">
        <f>"ﾘｽﾄ!C"&amp;B15+2</f>
        <v>ﾘｽﾄ!C5</v>
      </c>
      <c r="D15" s="44" t="str">
        <f>IFERROR(VLOOKUP($B15,ﾘｽﾄ!A:B,2,FALSE),"")</f>
        <v>総務・人事統括部</v>
      </c>
      <c r="E15" s="154" t="s">
        <v>682</v>
      </c>
      <c r="F15" s="37" t="str" cm="1">
        <f t="array" aca="1" ref="F15" ca="1">HYPERLINK(INDIRECT(C15),D15)</f>
        <v>総務・人事統括部</v>
      </c>
      <c r="G15" s="45"/>
    </row>
    <row r="16" spans="1:7" ht="19.95" customHeight="1" x14ac:dyDescent="0.45">
      <c r="D16" s="36"/>
      <c r="E16" s="106" t="s">
        <v>683</v>
      </c>
      <c r="F16" s="37"/>
      <c r="G16" s="39"/>
    </row>
    <row r="17" spans="2:7" ht="19.95" customHeight="1" x14ac:dyDescent="0.45">
      <c r="D17" s="36"/>
      <c r="E17" s="106" t="s">
        <v>684</v>
      </c>
      <c r="F17" s="40"/>
      <c r="G17" s="39"/>
    </row>
    <row r="18" spans="2:7" ht="19.95" customHeight="1" x14ac:dyDescent="0.45">
      <c r="D18" s="36"/>
      <c r="E18" s="106" t="s">
        <v>685</v>
      </c>
      <c r="F18" s="40"/>
      <c r="G18" s="39"/>
    </row>
    <row r="19" spans="2:7" ht="19.95" customHeight="1" x14ac:dyDescent="0.45">
      <c r="D19" s="41"/>
      <c r="E19" s="154" t="s">
        <v>686</v>
      </c>
      <c r="F19" s="42"/>
      <c r="G19" s="43"/>
    </row>
    <row r="20" spans="2:7" ht="19.95" customHeight="1" x14ac:dyDescent="0.45">
      <c r="B20" s="23">
        <f>B15+1</f>
        <v>4</v>
      </c>
      <c r="C20" s="24" t="str">
        <f>"ﾘｽﾄ!C"&amp;B20+2</f>
        <v>ﾘｽﾄ!C6</v>
      </c>
      <c r="D20" s="44" t="str">
        <f>IFERROR(VLOOKUP($B20,ﾘｽﾄ!A:B,2,FALSE),"")</f>
        <v>経営戦略室</v>
      </c>
      <c r="E20" s="108" t="s">
        <v>687</v>
      </c>
      <c r="F20" s="37" t="str" cm="1">
        <f t="array" aca="1" ref="F20" ca="1">HYPERLINK(INDIRECT(C20),D20)</f>
        <v>経営戦略室</v>
      </c>
      <c r="G20" s="45"/>
    </row>
    <row r="21" spans="2:7" ht="19.95" customHeight="1" x14ac:dyDescent="0.45">
      <c r="D21" s="36"/>
      <c r="E21" s="106" t="s">
        <v>688</v>
      </c>
      <c r="F21" s="40"/>
      <c r="G21" s="162" t="s">
        <v>689</v>
      </c>
    </row>
    <row r="22" spans="2:7" ht="19.95" customHeight="1" x14ac:dyDescent="0.45">
      <c r="D22" s="36"/>
      <c r="E22" s="106" t="s">
        <v>690</v>
      </c>
      <c r="F22" s="40"/>
      <c r="G22" s="39"/>
    </row>
    <row r="23" spans="2:7" ht="19.95" customHeight="1" x14ac:dyDescent="0.45">
      <c r="D23" s="36"/>
      <c r="E23" s="106" t="s">
        <v>691</v>
      </c>
      <c r="F23" s="40"/>
      <c r="G23" s="39"/>
    </row>
    <row r="24" spans="2:7" ht="19.95" customHeight="1" x14ac:dyDescent="0.45">
      <c r="D24" s="41"/>
      <c r="E24" s="107" t="s">
        <v>692</v>
      </c>
      <c r="F24" s="42"/>
      <c r="G24" s="43"/>
    </row>
    <row r="25" spans="2:7" ht="19.95" customHeight="1" x14ac:dyDescent="0.45">
      <c r="B25" s="23">
        <f>B20+1</f>
        <v>5</v>
      </c>
      <c r="C25" s="24" t="str">
        <f>"ﾘｽﾄ!C"&amp;B25+2</f>
        <v>ﾘｽﾄ!C7</v>
      </c>
      <c r="D25" s="44" t="str">
        <f>IFERROR(VLOOKUP($B25,ﾘｽﾄ!A:B,2,FALSE),"")</f>
        <v>経営管理部</v>
      </c>
      <c r="E25" s="108" t="s">
        <v>693</v>
      </c>
      <c r="F25" s="37" t="str" cm="1">
        <f t="array" aca="1" ref="F25" ca="1">HYPERLINK(INDIRECT(C25),D25)</f>
        <v>経営管理部</v>
      </c>
      <c r="G25" s="45"/>
    </row>
    <row r="26" spans="2:7" ht="19.95" customHeight="1" x14ac:dyDescent="0.45">
      <c r="D26" s="36"/>
      <c r="E26" s="106" t="s">
        <v>694</v>
      </c>
      <c r="F26" s="40"/>
      <c r="G26" s="39"/>
    </row>
    <row r="27" spans="2:7" ht="19.95" customHeight="1" x14ac:dyDescent="0.45">
      <c r="D27" s="36"/>
      <c r="E27" s="106" t="s">
        <v>695</v>
      </c>
      <c r="F27" s="40"/>
      <c r="G27" s="39"/>
    </row>
    <row r="28" spans="2:7" ht="19.95" customHeight="1" x14ac:dyDescent="0.45">
      <c r="D28" s="36"/>
      <c r="E28" s="106" t="s">
        <v>696</v>
      </c>
      <c r="F28" s="40"/>
      <c r="G28" s="39"/>
    </row>
    <row r="29" spans="2:7" ht="19.95" customHeight="1" x14ac:dyDescent="0.45">
      <c r="D29" s="41"/>
      <c r="E29" s="107" t="s">
        <v>697</v>
      </c>
      <c r="F29" s="42"/>
      <c r="G29" s="170" t="s">
        <v>698</v>
      </c>
    </row>
    <row r="30" spans="2:7" ht="19.95" customHeight="1" x14ac:dyDescent="0.45">
      <c r="B30" s="23">
        <f>B25+1</f>
        <v>6</v>
      </c>
      <c r="C30" s="24" t="str">
        <f>"ﾘｽﾄ!C"&amp;B30+2</f>
        <v>ﾘｽﾄ!C8</v>
      </c>
      <c r="D30" s="44" t="str">
        <f>IFERROR(VLOOKUP($B30,ﾘｽﾄ!A:B,2,FALSE),"")</f>
        <v>財務部</v>
      </c>
      <c r="E30" s="156" t="s">
        <v>699</v>
      </c>
      <c r="F30" s="37" t="str" cm="1">
        <f t="array" aca="1" ref="F30" ca="1">HYPERLINK(INDIRECT(C30),D30)</f>
        <v>財務部</v>
      </c>
      <c r="G30" s="45"/>
    </row>
    <row r="31" spans="2:7" ht="19.95" customHeight="1" x14ac:dyDescent="0.45">
      <c r="D31" s="36"/>
      <c r="E31" s="156" t="s">
        <v>700</v>
      </c>
      <c r="F31" s="40"/>
      <c r="G31" s="162" t="s">
        <v>399</v>
      </c>
    </row>
    <row r="32" spans="2:7" ht="19.95" customHeight="1" x14ac:dyDescent="0.45">
      <c r="D32" s="36"/>
      <c r="E32" s="156" t="s">
        <v>400</v>
      </c>
      <c r="F32" s="40"/>
      <c r="G32" s="162"/>
    </row>
    <row r="33" spans="2:7" ht="19.95" customHeight="1" x14ac:dyDescent="0.45">
      <c r="D33" s="36"/>
      <c r="E33" s="156" t="s">
        <v>701</v>
      </c>
      <c r="F33" s="40"/>
      <c r="G33" s="39"/>
    </row>
    <row r="34" spans="2:7" ht="19.95" customHeight="1" x14ac:dyDescent="0.45">
      <c r="D34" s="41"/>
      <c r="E34" s="156"/>
      <c r="F34" s="42"/>
      <c r="G34" s="43"/>
    </row>
    <row r="35" spans="2:7" ht="19.95" customHeight="1" x14ac:dyDescent="0.45">
      <c r="B35" s="23">
        <f>B30+1</f>
        <v>7</v>
      </c>
      <c r="C35" s="24" t="str">
        <f>"ﾘｽﾄ!C"&amp;B35+2</f>
        <v>ﾘｽﾄ!C9</v>
      </c>
      <c r="D35" s="44" t="str">
        <f>IFERROR(VLOOKUP($B35,ﾘｽﾄ!A:B,2,FALSE),"")</f>
        <v>経営戦略・管理・財務統括部</v>
      </c>
      <c r="E35" s="108" t="s">
        <v>702</v>
      </c>
      <c r="F35" s="37" t="str" cm="1">
        <f t="array" aca="1" ref="F35" ca="1">HYPERLINK(INDIRECT(C35),D35)</f>
        <v>経営戦略・管理・財務統括部</v>
      </c>
      <c r="G35" s="45"/>
    </row>
    <row r="36" spans="2:7" ht="19.95" customHeight="1" x14ac:dyDescent="0.45">
      <c r="D36" s="36"/>
      <c r="E36" s="106" t="s">
        <v>703</v>
      </c>
      <c r="F36" s="40"/>
      <c r="G36" s="39"/>
    </row>
    <row r="37" spans="2:7" ht="19.95" customHeight="1" x14ac:dyDescent="0.45">
      <c r="D37" s="36"/>
      <c r="E37" s="106" t="s">
        <v>704</v>
      </c>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t="s">
        <v>705</v>
      </c>
      <c r="F40" s="37" t="str" cm="1">
        <f t="array" aca="1" ref="F40" ca="1">HYPERLINK(INDIRECT(C40),D40)</f>
        <v>公共第1プロデュース部</v>
      </c>
      <c r="G40" s="45"/>
    </row>
    <row r="41" spans="2:7" ht="19.95" customHeight="1" x14ac:dyDescent="0.45">
      <c r="D41" s="36"/>
      <c r="E41" s="106" t="s">
        <v>706</v>
      </c>
      <c r="F41" s="40"/>
      <c r="G41" s="39"/>
    </row>
    <row r="42" spans="2:7" ht="19.95" customHeight="1" x14ac:dyDescent="0.45">
      <c r="D42" s="36"/>
      <c r="E42" s="106" t="s">
        <v>707</v>
      </c>
      <c r="F42" s="40"/>
      <c r="G42" s="39"/>
    </row>
    <row r="43" spans="2:7" ht="19.95" customHeight="1" x14ac:dyDescent="0.45">
      <c r="D43" s="36"/>
      <c r="E43" s="106" t="s">
        <v>708</v>
      </c>
      <c r="F43" s="40"/>
      <c r="G43" s="39"/>
    </row>
    <row r="44" spans="2:7" ht="19.95" customHeight="1" x14ac:dyDescent="0.45">
      <c r="D44" s="41"/>
      <c r="E44" s="106" t="s">
        <v>709</v>
      </c>
      <c r="F44" s="42"/>
      <c r="G44" s="43"/>
    </row>
    <row r="45" spans="2:7" ht="19.95" customHeight="1" x14ac:dyDescent="0.45">
      <c r="B45" s="23">
        <f>B40+1</f>
        <v>9</v>
      </c>
      <c r="C45" s="24" t="str">
        <f>"ﾘｽﾄ!C"&amp;B45+2</f>
        <v>ﾘｽﾄ!C11</v>
      </c>
      <c r="D45" s="44" t="str">
        <f>IFERROR(VLOOKUP($B45,ﾘｽﾄ!A:B,2,FALSE),"")</f>
        <v>公共第2プロデュース部</v>
      </c>
      <c r="E45" s="195" t="s">
        <v>710</v>
      </c>
      <c r="F45" s="46" t="str" cm="1">
        <f t="array" aca="1" ref="F45" ca="1">HYPERLINK(INDIRECT(C45),D45)</f>
        <v>公共第2プロデュース部</v>
      </c>
      <c r="G45" s="147" t="s">
        <v>102</v>
      </c>
    </row>
    <row r="46" spans="2:7" ht="19.95" customHeight="1" x14ac:dyDescent="0.45">
      <c r="D46" s="36"/>
      <c r="E46" s="196" t="s">
        <v>711</v>
      </c>
      <c r="F46" s="40"/>
      <c r="G46" s="148" t="s">
        <v>712</v>
      </c>
    </row>
    <row r="47" spans="2:7" ht="19.95" customHeight="1" x14ac:dyDescent="0.45">
      <c r="D47" s="36"/>
      <c r="E47" s="196" t="s">
        <v>713</v>
      </c>
      <c r="F47" s="40"/>
      <c r="G47" s="148" t="s">
        <v>714</v>
      </c>
    </row>
    <row r="48" spans="2:7" ht="19.95" customHeight="1" x14ac:dyDescent="0.45">
      <c r="D48" s="36"/>
      <c r="E48" s="115" t="s">
        <v>715</v>
      </c>
      <c r="F48" s="40"/>
      <c r="G48" s="39"/>
    </row>
    <row r="49" spans="2:7" ht="19.95" customHeight="1" x14ac:dyDescent="0.45">
      <c r="D49" s="41"/>
      <c r="E49" s="197" t="s">
        <v>716</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570</v>
      </c>
      <c r="F51" s="40"/>
      <c r="G51" s="39"/>
    </row>
    <row r="52" spans="2:7" ht="19.95" customHeight="1" x14ac:dyDescent="0.45">
      <c r="D52" s="36"/>
      <c r="E52" s="106" t="s">
        <v>717</v>
      </c>
      <c r="F52" s="40"/>
      <c r="G52" s="39"/>
    </row>
    <row r="53" spans="2:7" ht="19.95" customHeight="1" x14ac:dyDescent="0.45">
      <c r="D53" s="36"/>
      <c r="E53" s="106" t="s">
        <v>718</v>
      </c>
      <c r="F53" s="40"/>
      <c r="G53" s="39"/>
    </row>
    <row r="54" spans="2:7" ht="19.95" customHeight="1" x14ac:dyDescent="0.45">
      <c r="D54" s="41"/>
      <c r="E54" s="107" t="s">
        <v>719</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64" t="s">
        <v>720</v>
      </c>
      <c r="F55" s="46" t="str" cm="1">
        <f t="array" aca="1" ref="F55" ca="1">HYPERLINK(INDIRECT(C55),D55)</f>
        <v>社会インフラサービス部</v>
      </c>
      <c r="G55" s="45"/>
    </row>
    <row r="56" spans="2:7" ht="19.95" customHeight="1" x14ac:dyDescent="0.45">
      <c r="D56" s="36"/>
      <c r="E56" s="163" t="s">
        <v>721</v>
      </c>
      <c r="F56" s="40"/>
      <c r="G56" s="39"/>
    </row>
    <row r="57" spans="2:7" ht="19.95" customHeight="1" x14ac:dyDescent="0.45">
      <c r="D57" s="36"/>
      <c r="E57" s="163" t="s">
        <v>722</v>
      </c>
      <c r="F57" s="40"/>
      <c r="G57" s="39"/>
    </row>
    <row r="58" spans="2:7" ht="19.95" customHeight="1" x14ac:dyDescent="0.45">
      <c r="D58" s="36"/>
      <c r="E58" s="163" t="s">
        <v>723</v>
      </c>
      <c r="F58" s="40"/>
      <c r="G58" s="39"/>
    </row>
    <row r="59" spans="2:7" ht="19.95" customHeight="1" x14ac:dyDescent="0.45">
      <c r="D59" s="36"/>
      <c r="E59" s="163" t="s">
        <v>724</v>
      </c>
      <c r="F59" s="40"/>
      <c r="G59" s="39"/>
    </row>
    <row r="60" spans="2:7" ht="19.95" customHeight="1" x14ac:dyDescent="0.45">
      <c r="D60" s="41"/>
      <c r="E60" s="107" t="s">
        <v>725</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726</v>
      </c>
      <c r="F66" s="46" t="str" cm="1">
        <f t="array" aca="1" ref="F66" ca="1">HYPERLINK(INDIRECT(C66),D66)</f>
        <v>ITサービスマネジメント部</v>
      </c>
      <c r="G66" s="45"/>
    </row>
    <row r="67" spans="2:7" ht="19.95" customHeight="1" x14ac:dyDescent="0.45">
      <c r="D67" s="36"/>
      <c r="E67" s="140" t="s">
        <v>727</v>
      </c>
      <c r="F67" s="40"/>
      <c r="G67" s="39"/>
    </row>
    <row r="68" spans="2:7" ht="19.95" customHeight="1" x14ac:dyDescent="0.45">
      <c r="D68" s="36"/>
      <c r="E68" s="143" t="s">
        <v>728</v>
      </c>
      <c r="F68" s="40"/>
      <c r="G68" s="39"/>
    </row>
    <row r="69" spans="2:7" ht="19.95" customHeight="1" x14ac:dyDescent="0.45">
      <c r="D69" s="36"/>
      <c r="E69" s="140" t="s">
        <v>729</v>
      </c>
      <c r="F69" s="40"/>
      <c r="G69" s="39"/>
    </row>
    <row r="70" spans="2:7" ht="19.95" customHeight="1" x14ac:dyDescent="0.45">
      <c r="D70" s="41"/>
      <c r="E70" s="187" t="s">
        <v>730</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731</v>
      </c>
      <c r="F71" s="46" t="str" cm="1">
        <f t="array" aca="1" ref="F71" ca="1">HYPERLINK(INDIRECT(C71),D71)</f>
        <v>標準化・ガバメントクラウド推進部</v>
      </c>
      <c r="G71" s="45"/>
    </row>
    <row r="72" spans="2:7" ht="19.95" customHeight="1" x14ac:dyDescent="0.45">
      <c r="D72" s="36"/>
      <c r="E72" s="106" t="s">
        <v>732</v>
      </c>
      <c r="F72" s="40"/>
      <c r="G72" s="39"/>
    </row>
    <row r="73" spans="2:7" ht="19.95" customHeight="1" x14ac:dyDescent="0.45">
      <c r="D73" s="36"/>
      <c r="E73" s="106" t="s">
        <v>733</v>
      </c>
      <c r="F73" s="40"/>
      <c r="G73" s="39"/>
    </row>
    <row r="74" spans="2:7" ht="19.95" customHeight="1" x14ac:dyDescent="0.45">
      <c r="D74" s="36"/>
      <c r="E74" s="106" t="s">
        <v>734</v>
      </c>
      <c r="F74" s="40"/>
      <c r="G74" s="39"/>
    </row>
    <row r="75" spans="2:7" ht="19.95" customHeight="1" x14ac:dyDescent="0.45">
      <c r="D75" s="41"/>
      <c r="E75" s="107" t="s">
        <v>735</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06" t="s">
        <v>736</v>
      </c>
      <c r="F77" s="40"/>
      <c r="G77" s="39"/>
    </row>
    <row r="78" spans="2:7" ht="19.95" customHeight="1" x14ac:dyDescent="0.45">
      <c r="D78" s="36"/>
      <c r="E78" s="106" t="s">
        <v>102</v>
      </c>
      <c r="F78" s="40"/>
      <c r="G78" s="39"/>
    </row>
    <row r="79" spans="2:7" ht="19.95" customHeight="1" x14ac:dyDescent="0.45">
      <c r="D79" s="36"/>
      <c r="E79" s="106" t="s">
        <v>737</v>
      </c>
      <c r="F79" s="40"/>
      <c r="G79" s="39"/>
    </row>
    <row r="80" spans="2:7" ht="19.95" customHeight="1" x14ac:dyDescent="0.45">
      <c r="D80" s="41"/>
      <c r="E80" s="107" t="s">
        <v>738</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08" t="s">
        <v>739</v>
      </c>
      <c r="F81" s="46" t="str" cm="1">
        <f t="array" aca="1" ref="F81" ca="1">HYPERLINK(INDIRECT(C81),D81)</f>
        <v>DXビジネスプロデュース部</v>
      </c>
      <c r="G81" s="45"/>
    </row>
    <row r="82" spans="2:7" ht="19.95" customHeight="1" x14ac:dyDescent="0.45">
      <c r="D82" s="36"/>
      <c r="E82" s="106" t="s">
        <v>740</v>
      </c>
      <c r="F82" s="40"/>
      <c r="G82" s="39"/>
    </row>
    <row r="83" spans="2:7" ht="19.95" customHeight="1" x14ac:dyDescent="0.45">
      <c r="D83" s="36"/>
      <c r="E83" s="106" t="s">
        <v>741</v>
      </c>
      <c r="F83" s="40"/>
      <c r="G83" s="39"/>
    </row>
    <row r="84" spans="2:7" ht="19.95" customHeight="1" x14ac:dyDescent="0.45">
      <c r="D84" s="36"/>
      <c r="E84" s="106" t="s">
        <v>742</v>
      </c>
      <c r="F84" s="40"/>
      <c r="G84" s="39"/>
    </row>
    <row r="85" spans="2:7" ht="19.95" customHeight="1" x14ac:dyDescent="0.45">
      <c r="D85" s="41"/>
      <c r="E85" s="107" t="s">
        <v>743</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183" t="s">
        <v>744</v>
      </c>
      <c r="F86" s="46" t="str" cm="1">
        <f t="array" aca="1" ref="F86" ca="1">HYPERLINK(INDIRECT(C86),D86)</f>
        <v>九州ビジネスプロデュース部</v>
      </c>
      <c r="G86" s="45"/>
    </row>
    <row r="87" spans="2:7" ht="19.95" customHeight="1" x14ac:dyDescent="0.45">
      <c r="D87" s="36"/>
      <c r="E87" s="169" t="s">
        <v>745</v>
      </c>
      <c r="F87" s="40"/>
      <c r="G87" s="39"/>
    </row>
    <row r="88" spans="2:7" ht="19.95" customHeight="1" x14ac:dyDescent="0.45">
      <c r="D88" s="36"/>
      <c r="E88" s="169" t="s">
        <v>746</v>
      </c>
      <c r="F88" s="40"/>
      <c r="G88" s="39"/>
    </row>
    <row r="89" spans="2:7" ht="19.95" customHeight="1" x14ac:dyDescent="0.45">
      <c r="D89" s="36"/>
      <c r="E89" s="169" t="s">
        <v>747</v>
      </c>
      <c r="F89" s="40"/>
      <c r="G89" s="39"/>
    </row>
    <row r="90" spans="2:7" ht="19.95" customHeight="1" x14ac:dyDescent="0.45">
      <c r="D90" s="41"/>
      <c r="E90" s="184" t="s">
        <v>748</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749</v>
      </c>
      <c r="F91" s="46" t="str" cm="1">
        <f t="array" aca="1" ref="F91" ca="1">HYPERLINK(INDIRECT(C91),D91)</f>
        <v>DXビジネスソリューション部</v>
      </c>
      <c r="G91" s="45"/>
    </row>
    <row r="92" spans="2:7" ht="19.95" customHeight="1" x14ac:dyDescent="0.45">
      <c r="D92" s="36"/>
      <c r="E92" s="106" t="s">
        <v>750</v>
      </c>
      <c r="F92" s="40"/>
      <c r="G92" s="39"/>
    </row>
    <row r="93" spans="2:7" ht="19.95" customHeight="1" x14ac:dyDescent="0.45">
      <c r="D93" s="36"/>
      <c r="E93" s="106" t="s">
        <v>751</v>
      </c>
      <c r="F93" s="40"/>
      <c r="G93" s="39"/>
    </row>
    <row r="94" spans="2:7" ht="19.95" customHeight="1" x14ac:dyDescent="0.45">
      <c r="D94" s="36"/>
      <c r="E94" s="106" t="s">
        <v>752</v>
      </c>
      <c r="F94" s="40"/>
      <c r="G94" s="39"/>
    </row>
    <row r="95" spans="2:7" ht="19.95" customHeight="1" x14ac:dyDescent="0.45">
      <c r="D95" s="41"/>
      <c r="E95" s="107" t="s">
        <v>753</v>
      </c>
      <c r="F95" s="42"/>
      <c r="G95" s="43"/>
    </row>
    <row r="96" spans="2:7" ht="19.95" customHeight="1" x14ac:dyDescent="0.45">
      <c r="B96" s="23">
        <f t="shared" ref="B96" si="9">B91+1</f>
        <v>19</v>
      </c>
      <c r="C96" s="24" t="str">
        <f>"ﾘｽﾄ!C"&amp;B96+2</f>
        <v>ﾘｽﾄ!C21</v>
      </c>
      <c r="D96" s="44" t="str">
        <f>IFERROR(VLOOKUP($B96,ﾘｽﾄ!A:B,2,FALSE),"")</f>
        <v>システムサービス部</v>
      </c>
      <c r="E96" s="135" t="s">
        <v>754</v>
      </c>
      <c r="F96" s="46" t="str" cm="1">
        <f t="array" aca="1" ref="F96" ca="1">HYPERLINK(INDIRECT(C96),D96)</f>
        <v>システムサービス部</v>
      </c>
      <c r="G96" s="45"/>
    </row>
    <row r="97" spans="2:7" ht="19.95" customHeight="1" x14ac:dyDescent="0.45">
      <c r="D97" s="36"/>
      <c r="E97" s="159" t="s">
        <v>755</v>
      </c>
      <c r="F97" s="40"/>
      <c r="G97" s="39"/>
    </row>
    <row r="98" spans="2:7" ht="19.95" customHeight="1" x14ac:dyDescent="0.45">
      <c r="D98" s="36"/>
      <c r="E98" s="106" t="s">
        <v>756</v>
      </c>
      <c r="F98" s="40"/>
      <c r="G98" s="39"/>
    </row>
    <row r="99" spans="2:7" ht="19.95" customHeight="1" x14ac:dyDescent="0.45">
      <c r="D99" s="36"/>
      <c r="E99" s="106" t="s">
        <v>757</v>
      </c>
      <c r="F99" s="40"/>
      <c r="G99" s="39"/>
    </row>
    <row r="100" spans="2:7" ht="19.95" customHeight="1" x14ac:dyDescent="0.45">
      <c r="D100" s="41"/>
      <c r="E100" s="154" t="s">
        <v>758</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759</v>
      </c>
      <c r="F101" s="46" t="str" cm="1">
        <f t="array" aca="1" ref="F101" ca="1">HYPERLINK(INDIRECT(C101),D101)</f>
        <v>DX・海外連携推進室</v>
      </c>
      <c r="G101" s="45"/>
    </row>
    <row r="102" spans="2:7" ht="19.95" customHeight="1" x14ac:dyDescent="0.45">
      <c r="D102" s="36"/>
      <c r="E102" s="106" t="s">
        <v>760</v>
      </c>
      <c r="F102" s="40"/>
      <c r="G102" s="39"/>
    </row>
    <row r="103" spans="2:7" ht="19.95" customHeight="1" x14ac:dyDescent="0.45">
      <c r="D103" s="36"/>
      <c r="E103" s="106" t="s">
        <v>761</v>
      </c>
      <c r="F103" s="40"/>
      <c r="G103" s="39"/>
    </row>
    <row r="104" spans="2:7" ht="19.95" customHeight="1" x14ac:dyDescent="0.45">
      <c r="D104" s="36"/>
      <c r="E104" s="106" t="s">
        <v>762</v>
      </c>
      <c r="F104" s="40"/>
      <c r="G104" s="39"/>
    </row>
    <row r="105" spans="2:7" ht="19.95" customHeight="1" x14ac:dyDescent="0.45">
      <c r="D105" s="41"/>
      <c r="E105" s="107" t="s">
        <v>616</v>
      </c>
      <c r="F105" s="42"/>
      <c r="G105" s="43"/>
    </row>
    <row r="106" spans="2:7" ht="19.95" customHeight="1" x14ac:dyDescent="0.45">
      <c r="B106" s="23">
        <f t="shared" ref="B106" si="11">B101+1</f>
        <v>21</v>
      </c>
      <c r="C106" s="24" t="str">
        <f>"ﾘｽﾄ!C"&amp;B106+2</f>
        <v>ﾘｽﾄ!C23</v>
      </c>
      <c r="D106" s="44" t="str">
        <f>IFERROR(VLOOKUP($B106,ﾘｽﾄ!A:B,2,FALSE),"")</f>
        <v>DX推進部</v>
      </c>
      <c r="E106" s="135" t="s">
        <v>763</v>
      </c>
      <c r="F106" s="46" t="str" cm="1">
        <f t="array" aca="1" ref="F106" ca="1">HYPERLINK(INDIRECT(C106),D106)</f>
        <v>DX推進部</v>
      </c>
      <c r="G106" s="45"/>
    </row>
    <row r="107" spans="2:7" ht="19.95" customHeight="1" x14ac:dyDescent="0.45">
      <c r="D107" s="36"/>
      <c r="E107" s="154" t="s">
        <v>764</v>
      </c>
      <c r="F107" s="40"/>
      <c r="G107" s="39"/>
    </row>
    <row r="108" spans="2:7" ht="19.95" customHeight="1" x14ac:dyDescent="0.45">
      <c r="D108" s="36"/>
      <c r="E108" s="106" t="s">
        <v>765</v>
      </c>
      <c r="F108" s="40"/>
      <c r="G108" s="39"/>
    </row>
    <row r="109" spans="2:7" ht="19.95" customHeight="1" x14ac:dyDescent="0.45">
      <c r="D109" s="36"/>
      <c r="E109" s="106" t="s">
        <v>766</v>
      </c>
      <c r="F109" s="40"/>
      <c r="G109" s="39"/>
    </row>
    <row r="110" spans="2:7" ht="19.95" customHeight="1" x14ac:dyDescent="0.45">
      <c r="D110" s="41"/>
      <c r="E110" s="107" t="s">
        <v>767</v>
      </c>
      <c r="F110" s="42"/>
      <c r="G110" s="43"/>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768</v>
      </c>
      <c r="F116" s="46" t="str" cm="1">
        <f t="array" aca="1" ref="F116" ca="1">HYPERLINK(INDIRECT(C116),D116)</f>
        <v>ビジネスプロデュース部</v>
      </c>
      <c r="G116" s="45"/>
    </row>
    <row r="117" spans="2:7" ht="19.95" customHeight="1" x14ac:dyDescent="0.45">
      <c r="D117" s="36"/>
      <c r="E117" s="106" t="s">
        <v>769</v>
      </c>
      <c r="F117" s="40"/>
      <c r="G117" s="39"/>
    </row>
    <row r="118" spans="2:7" ht="19.95" customHeight="1" x14ac:dyDescent="0.45">
      <c r="D118" s="36"/>
      <c r="E118" s="106" t="s">
        <v>770</v>
      </c>
      <c r="F118" s="40"/>
      <c r="G118" s="39"/>
    </row>
    <row r="119" spans="2:7" ht="19.95" customHeight="1" x14ac:dyDescent="0.45">
      <c r="D119" s="36"/>
      <c r="E119" s="106" t="s">
        <v>771</v>
      </c>
      <c r="F119" s="40"/>
      <c r="G119" s="39"/>
    </row>
    <row r="120" spans="2:7" ht="19.95" customHeight="1" x14ac:dyDescent="0.45">
      <c r="D120" s="36"/>
      <c r="E120" s="106" t="s">
        <v>772</v>
      </c>
      <c r="F120" s="40"/>
      <c r="G120" s="39"/>
    </row>
    <row r="121" spans="2:7" ht="19.95" customHeight="1" x14ac:dyDescent="0.45">
      <c r="D121" s="41"/>
      <c r="E121" s="107" t="s">
        <v>773</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774</v>
      </c>
      <c r="F122" s="46" t="str" cm="1">
        <f t="array" aca="1" ref="F122" ca="1">HYPERLINK(INDIRECT(C122),D122)</f>
        <v>インフラビジネス推進部</v>
      </c>
      <c r="G122" s="45"/>
    </row>
    <row r="123" spans="2:7" ht="19.95" customHeight="1" x14ac:dyDescent="0.45">
      <c r="D123" s="36"/>
      <c r="E123" s="106" t="s">
        <v>775</v>
      </c>
      <c r="F123" s="40"/>
      <c r="G123" s="39"/>
    </row>
    <row r="124" spans="2:7" ht="19.95" customHeight="1" x14ac:dyDescent="0.45">
      <c r="D124" s="36"/>
      <c r="E124" s="174" t="s">
        <v>776</v>
      </c>
      <c r="F124" s="40"/>
      <c r="G124" s="39"/>
    </row>
    <row r="125" spans="2:7" ht="19.95" customHeight="1" x14ac:dyDescent="0.45">
      <c r="D125" s="36"/>
      <c r="E125" s="174" t="s">
        <v>777</v>
      </c>
      <c r="F125" s="40"/>
      <c r="G125" s="39" t="s">
        <v>148</v>
      </c>
    </row>
    <row r="126" spans="2:7" ht="19.95" customHeight="1" x14ac:dyDescent="0.45">
      <c r="D126" s="41"/>
      <c r="E126" s="107" t="s">
        <v>778</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779</v>
      </c>
      <c r="F132" s="46" t="str" cm="1">
        <f t="array" aca="1" ref="F132" ca="1">HYPERLINK(INDIRECT(C132),D132)</f>
        <v>西日本支社</v>
      </c>
      <c r="G132" s="45"/>
    </row>
    <row r="133" spans="2:7" ht="19.95" customHeight="1" x14ac:dyDescent="0.45">
      <c r="D133" s="36"/>
      <c r="E133" s="106" t="s">
        <v>780</v>
      </c>
      <c r="F133" s="40"/>
      <c r="G133" s="39"/>
    </row>
    <row r="134" spans="2:7" ht="19.95" customHeight="1" x14ac:dyDescent="0.45">
      <c r="D134" s="36"/>
      <c r="E134" s="154" t="s">
        <v>781</v>
      </c>
      <c r="F134" s="40"/>
      <c r="G134" s="39"/>
    </row>
    <row r="135" spans="2:7" ht="19.95" customHeight="1" x14ac:dyDescent="0.45">
      <c r="D135" s="36"/>
      <c r="E135" s="106" t="s">
        <v>782</v>
      </c>
      <c r="F135" s="40"/>
      <c r="G135" s="39"/>
    </row>
    <row r="136" spans="2:7" ht="19.95" customHeight="1" x14ac:dyDescent="0.45">
      <c r="D136" s="41"/>
      <c r="E136" s="107" t="s">
        <v>783</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784</v>
      </c>
      <c r="F137" s="46" t="str" cm="1">
        <f t="array" aca="1" ref="F137" ca="1">HYPERLINK(INDIRECT(C137),D137)</f>
        <v>福岡支社</v>
      </c>
      <c r="G137" s="45"/>
    </row>
    <row r="138" spans="2:7" ht="19.95" customHeight="1" x14ac:dyDescent="0.45">
      <c r="D138" s="36"/>
      <c r="E138" s="106" t="s">
        <v>785</v>
      </c>
      <c r="F138" s="40"/>
      <c r="G138" s="39"/>
    </row>
    <row r="139" spans="2:7" ht="19.95" customHeight="1" x14ac:dyDescent="0.45">
      <c r="D139" s="36"/>
      <c r="E139" s="149" t="s">
        <v>786</v>
      </c>
      <c r="F139" s="40"/>
      <c r="G139" s="39"/>
    </row>
    <row r="140" spans="2:7" ht="19.95" customHeight="1" x14ac:dyDescent="0.45">
      <c r="D140" s="36"/>
      <c r="E140" s="149" t="s">
        <v>787</v>
      </c>
      <c r="F140" s="40"/>
      <c r="G140" s="39"/>
    </row>
    <row r="141" spans="2:7" ht="19.95" customHeight="1" x14ac:dyDescent="0.45">
      <c r="D141" s="41"/>
      <c r="E141" s="149" t="s">
        <v>788</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14" t="s">
        <v>789</v>
      </c>
      <c r="F142" s="46" t="str" cm="1">
        <f t="array" aca="1" ref="F142" ca="1">HYPERLINK(INDIRECT(C142),D142)</f>
        <v>公共ソリューション部</v>
      </c>
      <c r="G142" s="45"/>
    </row>
    <row r="143" spans="2:7" ht="19.95" customHeight="1" x14ac:dyDescent="0.45">
      <c r="D143" s="36"/>
      <c r="E143" s="115" t="s">
        <v>790</v>
      </c>
      <c r="F143" s="40"/>
      <c r="G143" s="39"/>
    </row>
    <row r="144" spans="2:7" ht="19.95" customHeight="1" x14ac:dyDescent="0.45">
      <c r="D144" s="36"/>
      <c r="E144" s="106" t="s">
        <v>791</v>
      </c>
      <c r="F144" s="40"/>
      <c r="G144" s="39"/>
    </row>
    <row r="145" spans="2:7" ht="19.95" customHeight="1" x14ac:dyDescent="0.45">
      <c r="D145" s="36"/>
      <c r="E145" s="106" t="s">
        <v>792</v>
      </c>
      <c r="F145" s="40"/>
      <c r="G145" s="39"/>
    </row>
    <row r="146" spans="2:7" ht="19.95" customHeight="1" x14ac:dyDescent="0.45">
      <c r="D146" s="41"/>
      <c r="E146" s="107"/>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42" t="s">
        <v>793</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644</v>
      </c>
      <c r="F149" s="40"/>
      <c r="G149" s="39"/>
    </row>
    <row r="150" spans="2:7" ht="19.95" customHeight="1" x14ac:dyDescent="0.45">
      <c r="D150" s="36"/>
      <c r="E150" s="140" t="s">
        <v>794</v>
      </c>
      <c r="F150" s="40"/>
      <c r="G150" s="39"/>
    </row>
    <row r="151" spans="2:7" ht="19.95" customHeight="1" x14ac:dyDescent="0.45">
      <c r="D151" s="36"/>
      <c r="E151" s="106" t="s">
        <v>795</v>
      </c>
      <c r="F151" s="40"/>
      <c r="G151" s="39"/>
    </row>
    <row r="152" spans="2:7" ht="19.95" customHeight="1" x14ac:dyDescent="0.45">
      <c r="D152" s="41"/>
      <c r="E152" s="107" t="s">
        <v>796</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797</v>
      </c>
      <c r="F153" s="46" t="str" cm="1">
        <f t="array" aca="1" ref="F153" ca="1">HYPERLINK(INDIRECT(C153),D153)</f>
        <v>公共ソリューション開発センター</v>
      </c>
      <c r="G153" s="45"/>
    </row>
    <row r="154" spans="2:7" ht="19.95" customHeight="1" x14ac:dyDescent="0.45">
      <c r="D154" s="36"/>
      <c r="E154" s="106" t="s">
        <v>798</v>
      </c>
      <c r="F154" s="40"/>
      <c r="G154" s="39"/>
    </row>
    <row r="155" spans="2:7" ht="19.95" customHeight="1" x14ac:dyDescent="0.45">
      <c r="D155" s="36"/>
      <c r="E155" s="106" t="s">
        <v>499</v>
      </c>
      <c r="F155" s="40"/>
      <c r="G155" s="39"/>
    </row>
    <row r="156" spans="2:7" ht="19.95" customHeight="1" x14ac:dyDescent="0.45">
      <c r="D156" s="36"/>
      <c r="E156" s="106" t="s">
        <v>799</v>
      </c>
      <c r="F156" s="40"/>
      <c r="G156" s="39"/>
    </row>
    <row r="157" spans="2:7" ht="19.95" customHeight="1" x14ac:dyDescent="0.45">
      <c r="D157" s="41"/>
      <c r="E157" s="107" t="s">
        <v>800</v>
      </c>
      <c r="F157" s="42"/>
      <c r="G157" s="43"/>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t="s">
        <v>801</v>
      </c>
      <c r="F158" s="46" t="str" cm="1">
        <f t="array" aca="1" ref="F158" ca="1">HYPERLINK(INDIRECT(C158),D158)</f>
        <v>システムプロデュース事業部</v>
      </c>
      <c r="G158" s="45"/>
    </row>
    <row r="159" spans="2:7" ht="19.95" customHeight="1" x14ac:dyDescent="0.45">
      <c r="D159" s="36"/>
      <c r="E159" s="106" t="s">
        <v>802</v>
      </c>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803</v>
      </c>
      <c r="F163" s="46" t="str" cm="1">
        <f t="array" aca="1" ref="F163" ca="1">HYPERLINK(INDIRECT(C163),D163)</f>
        <v>デジタルイノベーション推進部</v>
      </c>
      <c r="G163" s="45"/>
    </row>
    <row r="164" spans="2:7" ht="19.95" customHeight="1" x14ac:dyDescent="0.45">
      <c r="D164" s="36"/>
      <c r="E164" s="106" t="s">
        <v>804</v>
      </c>
      <c r="F164" s="40"/>
      <c r="G164" s="39"/>
    </row>
    <row r="165" spans="2:7" ht="19.95" customHeight="1" x14ac:dyDescent="0.45">
      <c r="D165" s="36"/>
      <c r="E165" s="106" t="s">
        <v>179</v>
      </c>
      <c r="F165" s="40"/>
      <c r="G165" s="39"/>
    </row>
    <row r="166" spans="2:7" ht="19.95" customHeight="1" x14ac:dyDescent="0.45">
      <c r="D166" s="36"/>
      <c r="E166" s="106" t="s">
        <v>653</v>
      </c>
      <c r="F166" s="40"/>
      <c r="G166" s="39"/>
    </row>
    <row r="167" spans="2:7" ht="19.95" customHeight="1" x14ac:dyDescent="0.45">
      <c r="D167" s="41"/>
      <c r="E167" s="107" t="s">
        <v>654</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805</v>
      </c>
      <c r="F168" s="46" t="str" cm="1">
        <f t="array" aca="1" ref="F168" ca="1">HYPERLINK(INDIRECT(C168),D168)</f>
        <v>施設予約サービス部</v>
      </c>
      <c r="G168" s="45"/>
    </row>
    <row r="169" spans="2:7" ht="19.95" customHeight="1" x14ac:dyDescent="0.45">
      <c r="D169" s="36"/>
      <c r="E169" s="106" t="s">
        <v>806</v>
      </c>
      <c r="F169" s="40"/>
      <c r="G169" s="39"/>
    </row>
    <row r="170" spans="2:7" ht="19.95" customHeight="1" x14ac:dyDescent="0.45">
      <c r="D170" s="36"/>
      <c r="E170" s="106" t="s">
        <v>807</v>
      </c>
      <c r="F170" s="40"/>
      <c r="G170" s="39"/>
    </row>
    <row r="171" spans="2:7" ht="19.95" customHeight="1" x14ac:dyDescent="0.45">
      <c r="D171" s="36"/>
      <c r="E171" s="106" t="s">
        <v>808</v>
      </c>
      <c r="F171" s="40"/>
      <c r="G171" s="39"/>
    </row>
    <row r="172" spans="2:7" ht="19.95" customHeight="1" x14ac:dyDescent="0.45">
      <c r="D172" s="41"/>
      <c r="E172" s="107" t="s">
        <v>809</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810</v>
      </c>
      <c r="F173" s="46" t="str" cm="1">
        <f t="array" aca="1" ref="F173" ca="1">HYPERLINK(INDIRECT(C173),D173)</f>
        <v>ソリューションサービス部</v>
      </c>
      <c r="G173" s="45" t="s">
        <v>811</v>
      </c>
    </row>
    <row r="174" spans="2:7" ht="19.95" customHeight="1" x14ac:dyDescent="0.45">
      <c r="D174" s="36"/>
      <c r="E174" s="106" t="s">
        <v>812</v>
      </c>
      <c r="F174" s="40"/>
      <c r="G174" s="39"/>
    </row>
    <row r="175" spans="2:7" ht="19.95" customHeight="1" x14ac:dyDescent="0.45">
      <c r="D175" s="36"/>
      <c r="E175" s="106" t="s">
        <v>355</v>
      </c>
      <c r="F175" s="40"/>
      <c r="G175" s="39" t="s">
        <v>813</v>
      </c>
    </row>
    <row r="176" spans="2:7" ht="19.95" customHeight="1" x14ac:dyDescent="0.45">
      <c r="D176" s="36"/>
      <c r="E176" s="106" t="s">
        <v>191</v>
      </c>
      <c r="F176" s="40"/>
      <c r="G176" s="39" t="s">
        <v>814</v>
      </c>
    </row>
    <row r="177" spans="2:7" ht="19.95" customHeight="1" x14ac:dyDescent="0.45">
      <c r="D177" s="41"/>
      <c r="E177" s="165" t="s">
        <v>815</v>
      </c>
      <c r="F177" s="42"/>
      <c r="G177" s="43" t="s">
        <v>816</v>
      </c>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817</v>
      </c>
      <c r="F183" s="46" t="str" cm="1">
        <f t="array" aca="1" ref="F183" ca="1">HYPERLINK(INDIRECT(C183),D183)</f>
        <v>東京本社マネジメント推進部</v>
      </c>
      <c r="G183" s="45"/>
    </row>
    <row r="184" spans="2:7" ht="19.95" customHeight="1" x14ac:dyDescent="0.45">
      <c r="D184" s="36"/>
      <c r="E184" s="154" t="s">
        <v>818</v>
      </c>
      <c r="F184" s="40"/>
      <c r="G184" s="39"/>
    </row>
    <row r="185" spans="2:7" ht="19.95" customHeight="1" x14ac:dyDescent="0.45">
      <c r="D185" s="36"/>
      <c r="E185" s="106" t="s">
        <v>819</v>
      </c>
      <c r="F185" s="40"/>
      <c r="G185" s="39"/>
    </row>
    <row r="186" spans="2:7" ht="19.95" customHeight="1" x14ac:dyDescent="0.45">
      <c r="D186" s="36"/>
      <c r="E186" s="106" t="s">
        <v>820</v>
      </c>
      <c r="F186" s="40"/>
      <c r="G186" s="39"/>
    </row>
    <row r="187" spans="2:7" ht="19.95" customHeight="1" x14ac:dyDescent="0.45">
      <c r="D187" s="41"/>
      <c r="E187" s="154" t="s">
        <v>821</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E191" s="106"/>
      <c r="F191" s="40"/>
      <c r="G191" s="39"/>
    </row>
    <row r="192" spans="2:7" ht="19.95" customHeight="1" x14ac:dyDescent="0.45">
      <c r="D192" s="47"/>
      <c r="E192" s="107"/>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t="s">
        <v>198</v>
      </c>
      <c r="F193" s="46" t="str" cm="1">
        <f t="array" aca="1" ref="F193" ca="1">HYPERLINK(INDIRECT(C193),D193)</f>
        <v>中島常務執行役員</v>
      </c>
      <c r="G193" s="45"/>
    </row>
    <row r="194" spans="2:7" ht="19.95" customHeight="1" x14ac:dyDescent="0.45">
      <c r="D194" s="36"/>
      <c r="E194" s="106" t="s">
        <v>822</v>
      </c>
      <c r="F194" s="40"/>
      <c r="G194" s="39"/>
    </row>
    <row r="195" spans="2:7" ht="19.95" customHeight="1" x14ac:dyDescent="0.45">
      <c r="D195" s="36"/>
      <c r="E195" s="106"/>
      <c r="F195" s="40"/>
      <c r="G195" s="39"/>
    </row>
    <row r="196" spans="2:7" ht="19.95" customHeight="1" x14ac:dyDescent="0.45">
      <c r="D196" s="36"/>
      <c r="E196" s="106"/>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t="s">
        <v>823</v>
      </c>
      <c r="F198" s="46" t="str" cm="1">
        <f t="array" aca="1" ref="F198" ca="1">HYPERLINK(INDIRECT(C198),D198)</f>
        <v>河野取締役</v>
      </c>
      <c r="G198" s="45"/>
    </row>
    <row r="199" spans="2:7" ht="19.95" customHeight="1" x14ac:dyDescent="0.45">
      <c r="D199" s="36"/>
      <c r="E199" s="106" t="s">
        <v>824</v>
      </c>
      <c r="F199" s="40"/>
      <c r="G199" s="39"/>
    </row>
    <row r="200" spans="2:7" ht="19.95" customHeight="1" x14ac:dyDescent="0.45">
      <c r="D200" s="36"/>
      <c r="E200" s="106"/>
      <c r="F200" s="40"/>
      <c r="G200" s="39"/>
    </row>
    <row r="201" spans="2:7" ht="19.95" customHeight="1" x14ac:dyDescent="0.45">
      <c r="D201" s="36"/>
      <c r="E201" s="106"/>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t="s">
        <v>825</v>
      </c>
      <c r="F213" s="46" t="str" cm="1">
        <f t="array" aca="1" ref="F213" ca="1">HYPERLINK(INDIRECT(C213),D213)</f>
        <v>加藤社長</v>
      </c>
      <c r="G213" s="45"/>
    </row>
    <row r="214" spans="2:7" ht="19.95" customHeight="1" x14ac:dyDescent="0.45">
      <c r="D214" s="36"/>
      <c r="E214" s="106" t="s">
        <v>826</v>
      </c>
      <c r="F214" s="40"/>
      <c r="G214" s="39"/>
    </row>
    <row r="215" spans="2:7" ht="19.95" customHeight="1" x14ac:dyDescent="0.45">
      <c r="D215" s="36"/>
      <c r="E215" s="182" t="s">
        <v>827</v>
      </c>
      <c r="F215" s="40"/>
      <c r="G215" s="39"/>
    </row>
    <row r="216" spans="2:7" ht="19.95" customHeight="1" x14ac:dyDescent="0.45">
      <c r="D216" s="36"/>
      <c r="E216" s="182" t="s">
        <v>828</v>
      </c>
      <c r="F216" s="40"/>
      <c r="G216" s="39"/>
    </row>
    <row r="217" spans="2:7" ht="19.95" customHeight="1" thickBot="1" x14ac:dyDescent="0.5">
      <c r="D217" s="48"/>
      <c r="E217" s="109" t="s">
        <v>829</v>
      </c>
      <c r="F217" s="49"/>
      <c r="G217" s="50"/>
    </row>
    <row r="218" spans="2:7" x14ac:dyDescent="0.45">
      <c r="D218" s="111"/>
      <c r="E218" s="112"/>
      <c r="F218" s="113"/>
      <c r="G218" s="112"/>
    </row>
  </sheetData>
  <sheetProtection algorithmName="SHA-512" hashValue="gKWmfV3LaqVACSWFRp9L6Qdl1h5QzdUlHfrfTYQPIqGYd033OkeAdY0LzZ/TgmAcZvifCT039ODOOTBvkuDcBA==" saltValue="6zoWjCEERQCHsC8hgwhTdA==" spinCount="100000" sheet="1" objects="1" scenarios="1"/>
  <phoneticPr fontId="1"/>
  <hyperlinks>
    <hyperlink ref="F1" location="ﾘｽﾄ!A1" display="格納先一覧はこちら" xr:uid="{5B4FB649-D04A-489A-AC58-1E49B50D7ABF}"/>
    <hyperlink ref="G29" r:id="rId1" xr:uid="{252CD165-FE7C-4636-A0AD-D8F63F0BA440}"/>
    <hyperlink ref="G31" r:id="rId2" xr:uid="{61799080-E7A5-42A9-B283-695B2C2C4C96}"/>
    <hyperlink ref="G21" r:id="rId3" display="https://oec.cybozu.com/g/bulletin/view.csp?cid=16&amp;aid=1419" xr:uid="{3E275CC9-E6E4-40C5-B7F1-329F9858F9DF}"/>
  </hyperlinks>
  <printOptions horizontalCentered="1"/>
  <pageMargins left="0" right="0" top="0" bottom="0" header="0.31496062992125984" footer="0.31496062992125984"/>
  <pageSetup paperSize="8" scale="72" fitToHeight="3" orientation="portrait" horizontalDpi="1200" verticalDpi="1200" r:id="rId4"/>
  <rowBreaks count="2" manualBreakCount="2">
    <brk id="80" min="3" max="6" man="1"/>
    <brk id="146" min="3" max="6"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89ECF-EBA1-4AF6-B8E9-42282A275050}">
  <sheetPr codeName="Sheet8">
    <tabColor rgb="FFFFFF00"/>
  </sheetPr>
  <dimension ref="A1:G217"/>
  <sheetViews>
    <sheetView showGridLines="0" zoomScale="80" zoomScaleNormal="80" workbookViewId="0">
      <pane ySplit="4" topLeftCell="A66" activePane="bottomLeft" state="frozen"/>
      <selection activeCell="D1" sqref="D1"/>
      <selection pane="bottomLeft" activeCell="E47" sqref="E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6</v>
      </c>
      <c r="E1" s="30" t="s">
        <v>7</v>
      </c>
      <c r="F1" s="51" t="s">
        <v>8</v>
      </c>
      <c r="G1" s="52" t="s">
        <v>9</v>
      </c>
    </row>
    <row r="2" spans="1:7" x14ac:dyDescent="0.45">
      <c r="A2" s="26" cm="1">
        <f t="array" aca="1" ref="A2" ca="1">VALUE(MID(CELL("filename",A2),FIND("]",CELL("filename",A2))+1,99))</f>
        <v>6</v>
      </c>
      <c r="B2" s="27"/>
      <c r="C2" s="28"/>
      <c r="D2" s="95" t="s">
        <v>10</v>
      </c>
      <c r="G2" s="101" t="s">
        <v>11</v>
      </c>
    </row>
    <row r="3" spans="1:7" ht="24.6" customHeight="1" thickBot="1" x14ac:dyDescent="0.5">
      <c r="A3" s="26"/>
      <c r="D3" s="93">
        <f>IFERROR(VLOOKUP($A$1,目次!$C$5:$I$100,5,FALSE),"")</f>
        <v>45429</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830</v>
      </c>
      <c r="F5" s="37" t="str" cm="1">
        <f t="array" aca="1" ref="F5" ca="1">HYPERLINK(INDIRECT(C5),D5)</f>
        <v>総務部</v>
      </c>
      <c r="G5" s="38"/>
    </row>
    <row r="6" spans="1:7" ht="19.95" customHeight="1" x14ac:dyDescent="0.45">
      <c r="D6" s="36"/>
      <c r="E6" s="177" t="s">
        <v>831</v>
      </c>
      <c r="F6" s="37"/>
      <c r="G6" s="39"/>
    </row>
    <row r="7" spans="1:7" ht="19.95" customHeight="1" x14ac:dyDescent="0.45">
      <c r="D7" s="36"/>
      <c r="E7" s="106" t="s">
        <v>832</v>
      </c>
      <c r="F7" s="40"/>
      <c r="G7" s="39"/>
    </row>
    <row r="8" spans="1:7" ht="19.95" customHeight="1" x14ac:dyDescent="0.45">
      <c r="D8" s="36"/>
      <c r="E8" s="106" t="s">
        <v>676</v>
      </c>
      <c r="F8" s="40"/>
      <c r="G8" s="39"/>
    </row>
    <row r="9" spans="1:7" ht="19.95" customHeight="1" x14ac:dyDescent="0.45">
      <c r="D9" s="41"/>
      <c r="E9" s="107" t="s">
        <v>833</v>
      </c>
      <c r="F9" s="42"/>
      <c r="G9" s="43"/>
    </row>
    <row r="10" spans="1:7" ht="19.95" customHeight="1" x14ac:dyDescent="0.45">
      <c r="B10" s="23">
        <f>B5+1</f>
        <v>2</v>
      </c>
      <c r="C10" s="24" t="str">
        <f>"ﾘｽﾄ!C"&amp;B10+2</f>
        <v>ﾘｽﾄ!C4</v>
      </c>
      <c r="D10" s="44" t="str">
        <f>IFERROR(VLOOKUP($B10,ﾘｽﾄ!A:B,2,FALSE),"")</f>
        <v>人事部</v>
      </c>
      <c r="E10" s="178" t="s">
        <v>834</v>
      </c>
      <c r="F10" s="37" t="str" cm="1">
        <f t="array" aca="1" ref="F10" ca="1">HYPERLINK(INDIRECT(C10),D10)</f>
        <v>人事部</v>
      </c>
      <c r="G10" s="45"/>
    </row>
    <row r="11" spans="1:7" ht="19.95" customHeight="1" x14ac:dyDescent="0.45">
      <c r="D11" s="36"/>
      <c r="E11" s="179" t="s">
        <v>835</v>
      </c>
      <c r="F11" s="37"/>
      <c r="G11" s="39"/>
    </row>
    <row r="12" spans="1:7" ht="19.95" customHeight="1" x14ac:dyDescent="0.45">
      <c r="D12" s="36"/>
      <c r="E12" s="179" t="s">
        <v>836</v>
      </c>
      <c r="F12" s="37"/>
      <c r="G12" s="39"/>
    </row>
    <row r="13" spans="1:7" ht="19.95" customHeight="1" x14ac:dyDescent="0.45">
      <c r="D13" s="36"/>
      <c r="E13" s="198" t="s">
        <v>837</v>
      </c>
      <c r="F13" s="40"/>
      <c r="G13" s="39"/>
    </row>
    <row r="14" spans="1:7" ht="19.95" customHeight="1" x14ac:dyDescent="0.45">
      <c r="D14" s="41"/>
      <c r="E14" s="194" t="s">
        <v>838</v>
      </c>
      <c r="F14" s="42"/>
      <c r="G14" s="43"/>
    </row>
    <row r="15" spans="1:7" ht="19.95" customHeight="1" x14ac:dyDescent="0.45">
      <c r="B15" s="23">
        <f>B10+1</f>
        <v>3</v>
      </c>
      <c r="C15" s="24" t="str">
        <f>"ﾘｽﾄ!C"&amp;B15+2</f>
        <v>ﾘｽﾄ!C5</v>
      </c>
      <c r="D15" s="44" t="str">
        <f>IFERROR(VLOOKUP($B15,ﾘｽﾄ!A:B,2,FALSE),"")</f>
        <v>総務・人事統括部</v>
      </c>
      <c r="E15" s="108" t="s">
        <v>839</v>
      </c>
      <c r="F15" s="37" t="str" cm="1">
        <f t="array" aca="1" ref="F15" ca="1">HYPERLINK(INDIRECT(C15),D15)</f>
        <v>総務・人事統括部</v>
      </c>
      <c r="G15" s="45"/>
    </row>
    <row r="16" spans="1:7" ht="19.95" customHeight="1" x14ac:dyDescent="0.45">
      <c r="D16" s="36"/>
      <c r="E16" s="106" t="s">
        <v>840</v>
      </c>
      <c r="F16" s="37"/>
      <c r="G16" s="39"/>
    </row>
    <row r="17" spans="2:7" ht="19.95" customHeight="1" x14ac:dyDescent="0.45">
      <c r="D17" s="36"/>
      <c r="E17" s="106" t="s">
        <v>841</v>
      </c>
      <c r="F17" s="40"/>
      <c r="G17" s="39"/>
    </row>
    <row r="18" spans="2:7" ht="19.95" customHeight="1" x14ac:dyDescent="0.45">
      <c r="D18" s="36"/>
      <c r="E18" s="106" t="s">
        <v>842</v>
      </c>
      <c r="F18" s="40"/>
      <c r="G18" s="39"/>
    </row>
    <row r="19" spans="2:7" ht="19.95" customHeight="1" x14ac:dyDescent="0.45">
      <c r="D19" s="41"/>
      <c r="E19" s="107" t="s">
        <v>843</v>
      </c>
      <c r="F19" s="42"/>
      <c r="G19" s="43"/>
    </row>
    <row r="20" spans="2:7" ht="19.95" customHeight="1" x14ac:dyDescent="0.45">
      <c r="B20" s="23">
        <f>B15+1</f>
        <v>4</v>
      </c>
      <c r="C20" s="24" t="str">
        <f>"ﾘｽﾄ!C"&amp;B20+2</f>
        <v>ﾘｽﾄ!C6</v>
      </c>
      <c r="D20" s="44" t="str">
        <f>IFERROR(VLOOKUP($B20,ﾘｽﾄ!A:B,2,FALSE),"")</f>
        <v>経営戦略室</v>
      </c>
      <c r="E20" s="108" t="s">
        <v>844</v>
      </c>
      <c r="F20" s="37" t="str" cm="1">
        <f t="array" aca="1" ref="F20" ca="1">HYPERLINK(INDIRECT(C20),D20)</f>
        <v>経営戦略室</v>
      </c>
      <c r="G20" s="208" t="s">
        <v>845</v>
      </c>
    </row>
    <row r="21" spans="2:7" ht="19.95" customHeight="1" x14ac:dyDescent="0.45">
      <c r="D21" s="36"/>
      <c r="E21" s="106" t="s">
        <v>688</v>
      </c>
      <c r="F21" s="40"/>
      <c r="G21" s="208" t="s">
        <v>846</v>
      </c>
    </row>
    <row r="22" spans="2:7" ht="19.95" customHeight="1" x14ac:dyDescent="0.45">
      <c r="D22" s="36"/>
      <c r="E22" s="106" t="s">
        <v>690</v>
      </c>
      <c r="F22" s="40"/>
      <c r="G22" s="209"/>
    </row>
    <row r="23" spans="2:7" ht="19.95" customHeight="1" x14ac:dyDescent="0.45">
      <c r="D23" s="36"/>
      <c r="E23" s="106" t="s">
        <v>691</v>
      </c>
      <c r="F23" s="40"/>
      <c r="G23" s="209"/>
    </row>
    <row r="24" spans="2:7" ht="19.95" customHeight="1" x14ac:dyDescent="0.45">
      <c r="D24" s="41"/>
      <c r="E24" s="107" t="s">
        <v>692</v>
      </c>
      <c r="F24" s="42"/>
      <c r="G24" s="210"/>
    </row>
    <row r="25" spans="2:7" ht="19.95" customHeight="1" x14ac:dyDescent="0.45">
      <c r="B25" s="23">
        <f>B20+1</f>
        <v>5</v>
      </c>
      <c r="C25" s="24" t="str">
        <f>"ﾘｽﾄ!C"&amp;B25+2</f>
        <v>ﾘｽﾄ!C7</v>
      </c>
      <c r="D25" s="44" t="str">
        <f>IFERROR(VLOOKUP($B25,ﾘｽﾄ!A:B,2,FALSE),"")</f>
        <v>経営管理部</v>
      </c>
      <c r="E25" s="108" t="s">
        <v>847</v>
      </c>
      <c r="F25" s="37" t="str" cm="1">
        <f t="array" aca="1" ref="F25" ca="1">HYPERLINK(INDIRECT(C25),D25)</f>
        <v>経営管理部</v>
      </c>
      <c r="G25" s="45"/>
    </row>
    <row r="26" spans="2:7" ht="19.95" customHeight="1" x14ac:dyDescent="0.45">
      <c r="D26" s="36"/>
      <c r="E26" s="106" t="s">
        <v>848</v>
      </c>
      <c r="F26" s="40"/>
      <c r="G26" s="39"/>
    </row>
    <row r="27" spans="2:7" ht="19.95" customHeight="1" x14ac:dyDescent="0.45">
      <c r="D27" s="36"/>
      <c r="E27" s="106" t="s">
        <v>849</v>
      </c>
      <c r="F27" s="40"/>
      <c r="G27" s="39"/>
    </row>
    <row r="28" spans="2:7" ht="19.95" customHeight="1" x14ac:dyDescent="0.45">
      <c r="D28" s="36"/>
      <c r="E28" s="106" t="s">
        <v>850</v>
      </c>
      <c r="F28" s="40"/>
      <c r="G28" s="39"/>
    </row>
    <row r="29" spans="2:7" ht="19.95" customHeight="1" x14ac:dyDescent="0.45">
      <c r="D29" s="41"/>
      <c r="E29" s="107" t="s">
        <v>851</v>
      </c>
      <c r="F29" s="42"/>
      <c r="G29" s="43"/>
    </row>
    <row r="30" spans="2:7" ht="19.95" customHeight="1" x14ac:dyDescent="0.45">
      <c r="B30" s="23">
        <f>B25+1</f>
        <v>6</v>
      </c>
      <c r="C30" s="24" t="str">
        <f>"ﾘｽﾄ!C"&amp;B30+2</f>
        <v>ﾘｽﾄ!C8</v>
      </c>
      <c r="D30" s="44" t="str">
        <f>IFERROR(VLOOKUP($B30,ﾘｽﾄ!A:B,2,FALSE),"")</f>
        <v>財務部</v>
      </c>
      <c r="E30" s="156" t="s">
        <v>699</v>
      </c>
      <c r="F30" s="37" t="str" cm="1">
        <f t="array" aca="1" ref="F30" ca="1">HYPERLINK(INDIRECT(C30),D30)</f>
        <v>財務部</v>
      </c>
      <c r="G30" s="45"/>
    </row>
    <row r="31" spans="2:7" ht="19.95" customHeight="1" x14ac:dyDescent="0.45">
      <c r="D31" s="36"/>
      <c r="E31" s="156" t="s">
        <v>700</v>
      </c>
      <c r="F31" s="40"/>
      <c r="G31" s="39"/>
    </row>
    <row r="32" spans="2:7" ht="19.95" customHeight="1" x14ac:dyDescent="0.45">
      <c r="D32" s="36"/>
      <c r="E32" s="156" t="s">
        <v>400</v>
      </c>
      <c r="F32" s="40"/>
      <c r="G32" s="39"/>
    </row>
    <row r="33" spans="2:7" ht="19.95" customHeight="1" x14ac:dyDescent="0.45">
      <c r="D33" s="36"/>
      <c r="E33" s="201" t="s">
        <v>852</v>
      </c>
      <c r="F33" s="40"/>
      <c r="G33" s="39" t="s">
        <v>853</v>
      </c>
    </row>
    <row r="34" spans="2:7" ht="19.95" customHeight="1" x14ac:dyDescent="0.45">
      <c r="D34" s="41"/>
      <c r="E34" s="107" t="s">
        <v>854</v>
      </c>
      <c r="F34" s="42"/>
      <c r="G34" s="170" t="s">
        <v>855</v>
      </c>
    </row>
    <row r="35" spans="2:7" ht="19.95" customHeight="1" x14ac:dyDescent="0.45">
      <c r="B35" s="23">
        <f>B30+1</f>
        <v>7</v>
      </c>
      <c r="C35" s="24" t="str">
        <f>"ﾘｽﾄ!C"&amp;B35+2</f>
        <v>ﾘｽﾄ!C9</v>
      </c>
      <c r="D35" s="44" t="str">
        <f>IFERROR(VLOOKUP($B35,ﾘｽﾄ!A:B,2,FALSE),"")</f>
        <v>経営戦略・管理・財務統括部</v>
      </c>
      <c r="E35" s="108" t="s">
        <v>856</v>
      </c>
      <c r="F35" s="37" t="str" cm="1">
        <f t="array" aca="1" ref="F35" ca="1">HYPERLINK(INDIRECT(C35),D35)</f>
        <v>経営戦略・管理・財務統括部</v>
      </c>
      <c r="G35" s="45"/>
    </row>
    <row r="36" spans="2:7" ht="19.95" customHeight="1" x14ac:dyDescent="0.45">
      <c r="D36" s="36"/>
      <c r="E36" s="106" t="s">
        <v>857</v>
      </c>
      <c r="F36" s="40"/>
      <c r="G36" s="39"/>
    </row>
    <row r="37" spans="2:7" ht="19.95" customHeight="1" x14ac:dyDescent="0.45">
      <c r="D37" s="36"/>
      <c r="E37" s="106" t="s">
        <v>858</v>
      </c>
      <c r="F37" s="40"/>
      <c r="G37" s="39"/>
    </row>
    <row r="38" spans="2:7" ht="19.95" customHeight="1" x14ac:dyDescent="0.45">
      <c r="D38" s="36"/>
      <c r="E38" s="106" t="s">
        <v>859</v>
      </c>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t="s">
        <v>860</v>
      </c>
      <c r="F40" s="37" t="str" cm="1">
        <f t="array" aca="1" ref="F40" ca="1">HYPERLINK(INDIRECT(C40),D40)</f>
        <v>公共第1プロデュース部</v>
      </c>
      <c r="G40" s="45"/>
    </row>
    <row r="41" spans="2:7" ht="19.95" customHeight="1" x14ac:dyDescent="0.45">
      <c r="D41" s="36"/>
      <c r="E41" s="106" t="s">
        <v>861</v>
      </c>
      <c r="F41" s="40"/>
      <c r="G41" s="39"/>
    </row>
    <row r="42" spans="2:7" ht="19.95" customHeight="1" x14ac:dyDescent="0.45">
      <c r="D42" s="36"/>
      <c r="E42" s="106" t="s">
        <v>862</v>
      </c>
      <c r="F42" s="40"/>
      <c r="G42" s="39"/>
    </row>
    <row r="43" spans="2:7" ht="19.95" customHeight="1" x14ac:dyDescent="0.45">
      <c r="D43" s="36"/>
      <c r="E43" s="106" t="s">
        <v>863</v>
      </c>
      <c r="F43" s="40"/>
      <c r="G43" s="39"/>
    </row>
    <row r="44" spans="2:7" ht="19.95" customHeight="1" x14ac:dyDescent="0.45">
      <c r="D44" s="41"/>
      <c r="E44" s="107" t="s">
        <v>864</v>
      </c>
      <c r="F44" s="42"/>
      <c r="G44" s="43"/>
    </row>
    <row r="45" spans="2:7" ht="19.95" customHeight="1" x14ac:dyDescent="0.45">
      <c r="B45" s="23">
        <f>B40+1</f>
        <v>9</v>
      </c>
      <c r="C45" s="24" t="str">
        <f>"ﾘｽﾄ!C"&amp;B45+2</f>
        <v>ﾘｽﾄ!C11</v>
      </c>
      <c r="D45" s="44" t="str">
        <f>IFERROR(VLOOKUP($B45,ﾘｽﾄ!A:B,2,FALSE),"")</f>
        <v>公共第2プロデュース部</v>
      </c>
      <c r="E45" s="114" t="s">
        <v>865</v>
      </c>
      <c r="F45" s="46" t="str" cm="1">
        <f t="array" aca="1" ref="F45" ca="1">HYPERLINK(INDIRECT(C45),D45)</f>
        <v>公共第2プロデュース部</v>
      </c>
      <c r="G45" s="45"/>
    </row>
    <row r="46" spans="2:7" ht="19.95" customHeight="1" x14ac:dyDescent="0.45">
      <c r="D46" s="36"/>
      <c r="E46" s="115" t="s">
        <v>866</v>
      </c>
      <c r="F46" s="40"/>
      <c r="G46" s="39"/>
    </row>
    <row r="47" spans="2:7" ht="19.95" customHeight="1" x14ac:dyDescent="0.45">
      <c r="D47" s="36"/>
      <c r="E47" s="115" t="s">
        <v>867</v>
      </c>
      <c r="F47" s="40"/>
      <c r="G47" s="39"/>
    </row>
    <row r="48" spans="2:7" ht="19.95" customHeight="1" x14ac:dyDescent="0.45">
      <c r="D48" s="36"/>
      <c r="E48" s="115" t="s">
        <v>868</v>
      </c>
      <c r="F48" s="40"/>
      <c r="G48" s="39"/>
    </row>
    <row r="49" spans="2:7" ht="19.95" customHeight="1" x14ac:dyDescent="0.45">
      <c r="D49" s="41"/>
      <c r="E49" s="116" t="s">
        <v>869</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870</v>
      </c>
      <c r="F51" s="40"/>
      <c r="G51" s="39"/>
    </row>
    <row r="52" spans="2:7" ht="19.95" customHeight="1" x14ac:dyDescent="0.45">
      <c r="D52" s="36"/>
      <c r="E52" s="106" t="s">
        <v>871</v>
      </c>
      <c r="F52" s="40"/>
      <c r="G52" s="39"/>
    </row>
    <row r="53" spans="2:7" ht="19.95" customHeight="1" x14ac:dyDescent="0.45">
      <c r="D53" s="36"/>
      <c r="E53" s="106" t="s">
        <v>718</v>
      </c>
      <c r="F53" s="40"/>
      <c r="G53" s="39"/>
    </row>
    <row r="54" spans="2:7" ht="19.95" customHeight="1" x14ac:dyDescent="0.45">
      <c r="D54" s="41"/>
      <c r="E54" s="107" t="s">
        <v>872</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t="s">
        <v>873</v>
      </c>
      <c r="F60" s="46" t="str" cm="1">
        <f t="array" aca="1" ref="F60" ca="1">HYPERLINK(INDIRECT(C60),D60)</f>
        <v>公共ビジネス事業部</v>
      </c>
      <c r="G60" s="203" t="s">
        <v>874</v>
      </c>
    </row>
    <row r="61" spans="2:7" ht="19.95" customHeight="1" x14ac:dyDescent="0.45">
      <c r="D61" s="36"/>
      <c r="E61" s="106" t="s">
        <v>875</v>
      </c>
      <c r="F61" s="40"/>
      <c r="G61" s="162" t="s">
        <v>876</v>
      </c>
    </row>
    <row r="62" spans="2:7" ht="19.95" customHeight="1" x14ac:dyDescent="0.45">
      <c r="D62" s="36"/>
      <c r="E62" s="106" t="s">
        <v>877</v>
      </c>
      <c r="F62" s="40"/>
      <c r="G62" s="39"/>
    </row>
    <row r="63" spans="2:7" ht="19.95" customHeight="1" x14ac:dyDescent="0.45">
      <c r="D63" s="36"/>
      <c r="E63" s="106"/>
      <c r="F63" s="40"/>
      <c r="G63" s="39" t="s">
        <v>878</v>
      </c>
    </row>
    <row r="64" spans="2:7" ht="19.95" customHeight="1" x14ac:dyDescent="0.45">
      <c r="D64" s="41"/>
      <c r="E64" s="107"/>
      <c r="F64" s="42"/>
      <c r="G64" s="170" t="s">
        <v>879</v>
      </c>
    </row>
    <row r="65" spans="2:7" ht="19.95" customHeight="1" x14ac:dyDescent="0.45">
      <c r="B65" s="23">
        <f t="shared" ref="B65" si="3">B60+1</f>
        <v>13</v>
      </c>
      <c r="C65" s="24" t="str">
        <f>"ﾘｽﾄ!C"&amp;B65+2</f>
        <v>ﾘｽﾄ!C15</v>
      </c>
      <c r="D65" s="44" t="str">
        <f>IFERROR(VLOOKUP($B65,ﾘｽﾄ!A:B,2,FALSE),"")</f>
        <v>ITサービスマネジメント部</v>
      </c>
      <c r="E65" s="108" t="s">
        <v>880</v>
      </c>
      <c r="F65" s="46" t="str" cm="1">
        <f t="array" aca="1" ref="F65" ca="1">HYPERLINK(INDIRECT(C65),D65)</f>
        <v>ITサービスマネジメント部</v>
      </c>
      <c r="G65" s="45"/>
    </row>
    <row r="66" spans="2:7" ht="19.95" customHeight="1" x14ac:dyDescent="0.45">
      <c r="D66" s="36"/>
      <c r="E66" s="140" t="s">
        <v>881</v>
      </c>
      <c r="F66" s="40"/>
      <c r="G66" s="39"/>
    </row>
    <row r="67" spans="2:7" ht="19.95" customHeight="1" x14ac:dyDescent="0.45">
      <c r="D67" s="36"/>
      <c r="E67" s="143" t="s">
        <v>882</v>
      </c>
      <c r="F67" s="40"/>
      <c r="G67" s="39"/>
    </row>
    <row r="68" spans="2:7" ht="19.95" customHeight="1" x14ac:dyDescent="0.45">
      <c r="D68" s="36"/>
      <c r="E68" s="140" t="s">
        <v>729</v>
      </c>
      <c r="F68" s="40"/>
      <c r="G68" s="39"/>
    </row>
    <row r="69" spans="2:7" ht="19.95" customHeight="1" x14ac:dyDescent="0.45">
      <c r="D69" s="41"/>
      <c r="E69" s="204" t="s">
        <v>883</v>
      </c>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t="s">
        <v>884</v>
      </c>
      <c r="F70" s="46" t="str" cm="1">
        <f t="array" aca="1" ref="F70" ca="1">HYPERLINK(INDIRECT(C70),D70)</f>
        <v>標準化・ガバメントクラウド推進部</v>
      </c>
      <c r="G70" s="45"/>
    </row>
    <row r="71" spans="2:7" ht="19.95" customHeight="1" x14ac:dyDescent="0.45">
      <c r="D71" s="36"/>
      <c r="E71" s="106" t="s">
        <v>885</v>
      </c>
      <c r="F71" s="40"/>
      <c r="G71" s="39"/>
    </row>
    <row r="72" spans="2:7" ht="19.95" customHeight="1" x14ac:dyDescent="0.45">
      <c r="D72" s="36"/>
      <c r="E72" s="106" t="s">
        <v>886</v>
      </c>
      <c r="F72" s="40"/>
      <c r="G72" s="39"/>
    </row>
    <row r="73" spans="2:7" ht="19.95" customHeight="1" x14ac:dyDescent="0.45">
      <c r="D73" s="36"/>
      <c r="E73" s="106" t="s">
        <v>887</v>
      </c>
      <c r="F73" s="40"/>
      <c r="G73" s="39"/>
    </row>
    <row r="74" spans="2:7" ht="19.95" customHeight="1" x14ac:dyDescent="0.45">
      <c r="D74" s="41"/>
      <c r="E74" s="107" t="s">
        <v>735</v>
      </c>
      <c r="F74" s="42"/>
      <c r="G74" s="43"/>
    </row>
    <row r="75" spans="2:7" ht="19.95" customHeight="1" x14ac:dyDescent="0.45">
      <c r="B75" s="23">
        <f t="shared" ref="B75" si="5">B70+1</f>
        <v>15</v>
      </c>
      <c r="C75" s="24" t="str">
        <f>"ﾘｽﾄ!C"&amp;B75+2</f>
        <v>ﾘｽﾄ!C17</v>
      </c>
      <c r="D75" s="44" t="str">
        <f>IFERROR(VLOOKUP($B75,ﾘｽﾄ!A:B,2,FALSE),"")</f>
        <v>ITサービス事業部</v>
      </c>
      <c r="E75" s="108" t="s">
        <v>100</v>
      </c>
      <c r="F75" s="46" t="str" cm="1">
        <f t="array" aca="1" ref="F75" ca="1">HYPERLINK(INDIRECT(C75),D75)</f>
        <v>ITサービス事業部</v>
      </c>
      <c r="G75" s="45"/>
    </row>
    <row r="76" spans="2:7" ht="19.95" customHeight="1" x14ac:dyDescent="0.45">
      <c r="D76" s="36"/>
      <c r="E76" s="106" t="s">
        <v>888</v>
      </c>
      <c r="F76" s="40"/>
      <c r="G76" s="39"/>
    </row>
    <row r="77" spans="2:7" ht="19.95" customHeight="1" x14ac:dyDescent="0.45">
      <c r="D77" s="36"/>
      <c r="E77" s="106" t="s">
        <v>889</v>
      </c>
      <c r="F77" s="40"/>
      <c r="G77" s="39"/>
    </row>
    <row r="78" spans="2:7" ht="19.95" customHeight="1" x14ac:dyDescent="0.45">
      <c r="D78" s="36"/>
      <c r="E78" s="106" t="s">
        <v>102</v>
      </c>
      <c r="F78" s="40"/>
      <c r="G78" s="39"/>
    </row>
    <row r="79" spans="2:7" ht="19.95" customHeight="1" x14ac:dyDescent="0.45">
      <c r="D79" s="41"/>
      <c r="E79" s="107" t="s">
        <v>890</v>
      </c>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t="s">
        <v>891</v>
      </c>
      <c r="F80" s="46" t="str" cm="1">
        <f t="array" aca="1" ref="F80" ca="1">HYPERLINK(INDIRECT(C80),D80)</f>
        <v>DXビジネスプロデュース部</v>
      </c>
      <c r="G80" s="45"/>
    </row>
    <row r="81" spans="2:7" ht="19.95" customHeight="1" x14ac:dyDescent="0.45">
      <c r="D81" s="36"/>
      <c r="E81" s="106" t="s">
        <v>892</v>
      </c>
      <c r="F81" s="40"/>
      <c r="G81" s="39"/>
    </row>
    <row r="82" spans="2:7" ht="19.95" customHeight="1" x14ac:dyDescent="0.45">
      <c r="D82" s="36"/>
      <c r="E82" s="106" t="s">
        <v>893</v>
      </c>
      <c r="F82" s="40"/>
      <c r="G82" s="39"/>
    </row>
    <row r="83" spans="2:7" ht="19.95" customHeight="1" x14ac:dyDescent="0.45">
      <c r="D83" s="36"/>
      <c r="E83" s="106" t="s">
        <v>894</v>
      </c>
      <c r="F83" s="40"/>
      <c r="G83" s="39"/>
    </row>
    <row r="84" spans="2:7" ht="19.95" customHeight="1" x14ac:dyDescent="0.45">
      <c r="D84" s="41"/>
      <c r="E84" s="107" t="s">
        <v>895</v>
      </c>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83" t="s">
        <v>896</v>
      </c>
      <c r="F85" s="46" t="str" cm="1">
        <f t="array" aca="1" ref="F85" ca="1">HYPERLINK(INDIRECT(C85),D85)</f>
        <v>九州ビジネスプロデュース部</v>
      </c>
      <c r="G85" s="45"/>
    </row>
    <row r="86" spans="2:7" ht="19.95" customHeight="1" x14ac:dyDescent="0.45">
      <c r="D86" s="36"/>
      <c r="E86" s="169" t="s">
        <v>897</v>
      </c>
      <c r="F86" s="40"/>
      <c r="G86" s="39"/>
    </row>
    <row r="87" spans="2:7" ht="19.95" customHeight="1" x14ac:dyDescent="0.45">
      <c r="D87" s="36"/>
      <c r="E87" s="169" t="s">
        <v>898</v>
      </c>
      <c r="F87" s="40"/>
      <c r="G87" s="39"/>
    </row>
    <row r="88" spans="2:7" ht="19.95" customHeight="1" x14ac:dyDescent="0.45">
      <c r="D88" s="36"/>
      <c r="E88" s="169" t="s">
        <v>899</v>
      </c>
      <c r="F88" s="40"/>
      <c r="G88" s="39"/>
    </row>
    <row r="89" spans="2:7" ht="19.95" customHeight="1" x14ac:dyDescent="0.45">
      <c r="D89" s="41"/>
      <c r="E89" s="184" t="s">
        <v>900</v>
      </c>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t="s">
        <v>901</v>
      </c>
      <c r="F90" s="46" t="str" cm="1">
        <f t="array" aca="1" ref="F90" ca="1">HYPERLINK(INDIRECT(C90),D90)</f>
        <v>DXビジネスソリューション部</v>
      </c>
      <c r="G90" s="45"/>
    </row>
    <row r="91" spans="2:7" ht="19.95" customHeight="1" x14ac:dyDescent="0.45">
      <c r="D91" s="36"/>
      <c r="E91" s="106" t="s">
        <v>902</v>
      </c>
      <c r="F91" s="40"/>
      <c r="G91" s="39"/>
    </row>
    <row r="92" spans="2:7" ht="19.95" customHeight="1" x14ac:dyDescent="0.45">
      <c r="D92" s="36"/>
      <c r="E92" s="106" t="s">
        <v>903</v>
      </c>
      <c r="F92" s="40"/>
      <c r="G92" s="39"/>
    </row>
    <row r="93" spans="2:7" ht="19.95" customHeight="1" x14ac:dyDescent="0.45">
      <c r="D93" s="36"/>
      <c r="E93" s="106" t="s">
        <v>752</v>
      </c>
      <c r="F93" s="40"/>
      <c r="G93" s="39"/>
    </row>
    <row r="94" spans="2:7" ht="19.95" customHeight="1" x14ac:dyDescent="0.45">
      <c r="D94" s="41"/>
      <c r="E94" s="107" t="s">
        <v>904</v>
      </c>
      <c r="F94" s="42"/>
      <c r="G94" s="43"/>
    </row>
    <row r="95" spans="2:7" ht="19.95" customHeight="1" x14ac:dyDescent="0.45">
      <c r="B95" s="23">
        <f t="shared" ref="B95" si="9">B90+1</f>
        <v>19</v>
      </c>
      <c r="C95" s="24" t="str">
        <f>"ﾘｽﾄ!C"&amp;B95+2</f>
        <v>ﾘｽﾄ!C21</v>
      </c>
      <c r="D95" s="44" t="str">
        <f>IFERROR(VLOOKUP($B95,ﾘｽﾄ!A:B,2,FALSE),"")</f>
        <v>システムサービス部</v>
      </c>
      <c r="E95" s="202" t="s">
        <v>905</v>
      </c>
      <c r="F95" s="46" t="str" cm="1">
        <f t="array" aca="1" ref="F95" ca="1">HYPERLINK(INDIRECT(C95),D95)</f>
        <v>システムサービス部</v>
      </c>
      <c r="G95" s="45"/>
    </row>
    <row r="96" spans="2:7" ht="19.95" customHeight="1" x14ac:dyDescent="0.45">
      <c r="D96" s="36"/>
      <c r="E96" s="159" t="s">
        <v>906</v>
      </c>
      <c r="F96" s="40"/>
      <c r="G96" s="39"/>
    </row>
    <row r="97" spans="2:7" ht="19.95" customHeight="1" x14ac:dyDescent="0.45">
      <c r="D97" s="36"/>
      <c r="E97" s="106" t="s">
        <v>907</v>
      </c>
      <c r="F97" s="40"/>
      <c r="G97" s="39"/>
    </row>
    <row r="98" spans="2:7" ht="19.95" customHeight="1" x14ac:dyDescent="0.45">
      <c r="D98" s="36"/>
      <c r="E98" s="106" t="s">
        <v>908</v>
      </c>
      <c r="F98" s="40"/>
      <c r="G98" s="39"/>
    </row>
    <row r="99" spans="2:7" ht="19.95" customHeight="1" x14ac:dyDescent="0.45">
      <c r="D99" s="41"/>
      <c r="E99" s="154" t="s">
        <v>909</v>
      </c>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t="s">
        <v>910</v>
      </c>
      <c r="F100" s="46" t="str" cm="1">
        <f t="array" aca="1" ref="F100" ca="1">HYPERLINK(INDIRECT(C100),D100)</f>
        <v>DX・海外連携推進室</v>
      </c>
      <c r="G100" s="45"/>
    </row>
    <row r="101" spans="2:7" ht="19.95" customHeight="1" x14ac:dyDescent="0.45">
      <c r="D101" s="36"/>
      <c r="E101" s="106" t="s">
        <v>911</v>
      </c>
      <c r="F101" s="40"/>
      <c r="G101" s="39"/>
    </row>
    <row r="102" spans="2:7" ht="19.95" customHeight="1" x14ac:dyDescent="0.45">
      <c r="D102" s="36"/>
      <c r="E102" s="106" t="s">
        <v>912</v>
      </c>
      <c r="F102" s="40"/>
      <c r="G102" s="39"/>
    </row>
    <row r="103" spans="2:7" ht="19.95" customHeight="1" x14ac:dyDescent="0.45">
      <c r="D103" s="36"/>
      <c r="E103" s="106" t="s">
        <v>762</v>
      </c>
      <c r="F103" s="40"/>
      <c r="G103" s="39"/>
    </row>
    <row r="104" spans="2:7" ht="19.95" customHeight="1" x14ac:dyDescent="0.45">
      <c r="D104" s="41"/>
      <c r="E104" s="107" t="s">
        <v>616</v>
      </c>
      <c r="F104" s="42"/>
      <c r="G104" s="43"/>
    </row>
    <row r="105" spans="2:7" ht="19.95" customHeight="1" x14ac:dyDescent="0.45">
      <c r="B105" s="23">
        <f t="shared" ref="B105" si="11">B100+1</f>
        <v>21</v>
      </c>
      <c r="C105" s="24" t="str">
        <f>"ﾘｽﾄ!C"&amp;B105+2</f>
        <v>ﾘｽﾄ!C23</v>
      </c>
      <c r="D105" s="44" t="str">
        <f>IFERROR(VLOOKUP($B105,ﾘｽﾄ!A:B,2,FALSE),"")</f>
        <v>DX推進部</v>
      </c>
      <c r="E105" s="108" t="s">
        <v>913</v>
      </c>
      <c r="F105" s="46" t="str" cm="1">
        <f t="array" aca="1" ref="F105" ca="1">HYPERLINK(INDIRECT(C105),D105)</f>
        <v>DX推進部</v>
      </c>
      <c r="G105" s="45"/>
    </row>
    <row r="106" spans="2:7" ht="19.95" customHeight="1" x14ac:dyDescent="0.45">
      <c r="D106" s="36"/>
      <c r="E106" s="106" t="s">
        <v>914</v>
      </c>
      <c r="F106" s="40"/>
      <c r="G106" s="39"/>
    </row>
    <row r="107" spans="2:7" ht="19.95" customHeight="1" x14ac:dyDescent="0.45">
      <c r="D107" s="36"/>
      <c r="E107" s="106" t="s">
        <v>915</v>
      </c>
      <c r="F107" s="40"/>
      <c r="G107" s="39"/>
    </row>
    <row r="108" spans="2:7" ht="19.95" customHeight="1" x14ac:dyDescent="0.45">
      <c r="D108" s="36"/>
      <c r="E108" s="106" t="s">
        <v>916</v>
      </c>
      <c r="F108" s="40"/>
      <c r="G108" s="39"/>
    </row>
    <row r="109" spans="2:7" ht="19.95" customHeight="1" x14ac:dyDescent="0.45">
      <c r="D109" s="41"/>
      <c r="E109" s="107" t="s">
        <v>917</v>
      </c>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t="s">
        <v>918</v>
      </c>
      <c r="F115" s="46" t="str" cm="1">
        <f t="array" aca="1" ref="F115" ca="1">HYPERLINK(INDIRECT(C115),D115)</f>
        <v>ビジネスプロデュース部</v>
      </c>
      <c r="G115" s="45"/>
    </row>
    <row r="116" spans="2:7" ht="19.95" customHeight="1" x14ac:dyDescent="0.45">
      <c r="D116" s="36"/>
      <c r="E116" s="106" t="s">
        <v>919</v>
      </c>
      <c r="F116" s="40"/>
      <c r="G116" s="39"/>
    </row>
    <row r="117" spans="2:7" ht="19.95" customHeight="1" x14ac:dyDescent="0.45">
      <c r="D117" s="36"/>
      <c r="E117" s="106" t="s">
        <v>920</v>
      </c>
      <c r="F117" s="40"/>
      <c r="G117" s="39"/>
    </row>
    <row r="118" spans="2:7" ht="19.95" customHeight="1" x14ac:dyDescent="0.45">
      <c r="D118" s="36"/>
      <c r="E118" s="106" t="s">
        <v>921</v>
      </c>
      <c r="F118" s="40"/>
      <c r="G118" s="39"/>
    </row>
    <row r="119" spans="2:7" ht="19.95" customHeight="1" x14ac:dyDescent="0.45">
      <c r="D119" s="36"/>
      <c r="E119" s="106" t="s">
        <v>922</v>
      </c>
      <c r="F119" s="40"/>
      <c r="G119" s="39"/>
    </row>
    <row r="120" spans="2:7" ht="19.95" customHeight="1" x14ac:dyDescent="0.45">
      <c r="D120" s="41"/>
      <c r="E120" s="107" t="s">
        <v>923</v>
      </c>
      <c r="F120" s="42"/>
      <c r="G120" s="43"/>
    </row>
    <row r="121" spans="2:7" ht="19.95" customHeight="1" x14ac:dyDescent="0.45">
      <c r="B121" s="23">
        <f t="shared" ref="B121" si="14">B115+1</f>
        <v>24</v>
      </c>
      <c r="C121" s="24" t="str">
        <f>"ﾘｽﾄ!C"&amp;B121+2</f>
        <v>ﾘｽﾄ!C26</v>
      </c>
      <c r="D121" s="44" t="str">
        <f>IFERROR(VLOOKUP($B121,ﾘｽﾄ!A:B,2,FALSE),"")</f>
        <v>インフラビジネス推進部</v>
      </c>
      <c r="E121" s="135" t="s">
        <v>924</v>
      </c>
      <c r="F121" s="46" t="str" cm="1">
        <f t="array" aca="1" ref="F121" ca="1">HYPERLINK(INDIRECT(C121),D121)</f>
        <v>インフラビジネス推進部</v>
      </c>
      <c r="G121" s="45"/>
    </row>
    <row r="122" spans="2:7" ht="19.95" customHeight="1" x14ac:dyDescent="0.45">
      <c r="D122" s="36"/>
      <c r="E122" s="106" t="s">
        <v>925</v>
      </c>
      <c r="F122" s="40"/>
      <c r="G122" s="39"/>
    </row>
    <row r="123" spans="2:7" ht="19.95" customHeight="1" x14ac:dyDescent="0.45">
      <c r="D123" s="36"/>
      <c r="E123" s="174" t="s">
        <v>926</v>
      </c>
      <c r="F123" s="40"/>
      <c r="G123" s="39"/>
    </row>
    <row r="124" spans="2:7" ht="19.95" customHeight="1" x14ac:dyDescent="0.45">
      <c r="D124" s="36"/>
      <c r="E124" s="174" t="s">
        <v>927</v>
      </c>
      <c r="F124" s="40"/>
      <c r="G124" s="39" t="s">
        <v>148</v>
      </c>
    </row>
    <row r="125" spans="2:7" ht="19.95" customHeight="1" x14ac:dyDescent="0.45">
      <c r="D125" s="41"/>
      <c r="E125" s="107" t="s">
        <v>928</v>
      </c>
      <c r="F125" s="42"/>
      <c r="G125" s="43"/>
    </row>
    <row r="126" spans="2:7" ht="19.95" customHeight="1" x14ac:dyDescent="0.45">
      <c r="B126" s="23">
        <f t="shared" ref="B126" si="15">B121+1</f>
        <v>25</v>
      </c>
      <c r="C126" s="24" t="str">
        <f>"ﾘｽﾄ!C"&amp;B126+2</f>
        <v>ﾘｽﾄ!C27</v>
      </c>
      <c r="D126" s="44" t="str">
        <f>IFERROR(VLOOKUP($B126,ﾘｽﾄ!A:B,2,FALSE),"")</f>
        <v>ビジネスプロデュース事業部</v>
      </c>
      <c r="E126" s="108"/>
      <c r="F126" s="46" t="str" cm="1">
        <f t="array" aca="1" ref="F126" ca="1">HYPERLINK(INDIRECT(C126),D126)</f>
        <v>ビジネスプロデュース事業部</v>
      </c>
      <c r="G126" s="45"/>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41"/>
      <c r="E130" s="107"/>
      <c r="F130" s="42"/>
      <c r="G130" s="43"/>
    </row>
    <row r="131" spans="2:7" ht="19.95" customHeight="1" x14ac:dyDescent="0.45">
      <c r="B131" s="23">
        <f t="shared" ref="B131" si="16">B126+1</f>
        <v>26</v>
      </c>
      <c r="C131" s="24" t="str">
        <f>"ﾘｽﾄ!C"&amp;B131+2</f>
        <v>ﾘｽﾄ!C28</v>
      </c>
      <c r="D131" s="44" t="str">
        <f>IFERROR(VLOOKUP($B131,ﾘｽﾄ!A:B,2,FALSE),"")</f>
        <v>西日本支社</v>
      </c>
      <c r="E131" s="108" t="s">
        <v>929</v>
      </c>
      <c r="F131" s="46" t="str" cm="1">
        <f t="array" aca="1" ref="F131" ca="1">HYPERLINK(INDIRECT(C131),D131)</f>
        <v>西日本支社</v>
      </c>
      <c r="G131" s="45"/>
    </row>
    <row r="132" spans="2:7" ht="19.95" customHeight="1" x14ac:dyDescent="0.45">
      <c r="D132" s="36"/>
      <c r="E132" s="106" t="s">
        <v>930</v>
      </c>
      <c r="F132" s="40"/>
      <c r="G132" s="39"/>
    </row>
    <row r="133" spans="2:7" ht="19.95" customHeight="1" x14ac:dyDescent="0.45">
      <c r="D133" s="36"/>
      <c r="E133" s="154" t="s">
        <v>931</v>
      </c>
      <c r="F133" s="40"/>
      <c r="G133" s="39"/>
    </row>
    <row r="134" spans="2:7" ht="19.95" customHeight="1" x14ac:dyDescent="0.45">
      <c r="D134" s="36"/>
      <c r="E134" s="106" t="s">
        <v>932</v>
      </c>
      <c r="F134" s="40"/>
      <c r="G134" s="39"/>
    </row>
    <row r="135" spans="2:7" ht="19.95" customHeight="1" x14ac:dyDescent="0.45">
      <c r="D135" s="41"/>
      <c r="E135" s="107" t="s">
        <v>635</v>
      </c>
      <c r="F135" s="42"/>
      <c r="G135" s="43"/>
    </row>
    <row r="136" spans="2:7" ht="19.95" customHeight="1" x14ac:dyDescent="0.45">
      <c r="B136" s="23">
        <f t="shared" ref="B136" si="17">B131+1</f>
        <v>27</v>
      </c>
      <c r="C136" s="24" t="str">
        <f>"ﾘｽﾄ!C"&amp;B136+2</f>
        <v>ﾘｽﾄ!C29</v>
      </c>
      <c r="D136" s="44" t="str">
        <f>IFERROR(VLOOKUP($B136,ﾘｽﾄ!A:B,2,FALSE),"")</f>
        <v>福岡支社</v>
      </c>
      <c r="E136" s="108" t="s">
        <v>933</v>
      </c>
      <c r="F136" s="46" t="str" cm="1">
        <f t="array" aca="1" ref="F136" ca="1">HYPERLINK(INDIRECT(C136),D136)</f>
        <v>福岡支社</v>
      </c>
      <c r="G136" s="45"/>
    </row>
    <row r="137" spans="2:7" ht="19.95" customHeight="1" x14ac:dyDescent="0.45">
      <c r="D137" s="36"/>
      <c r="E137" s="106" t="s">
        <v>934</v>
      </c>
      <c r="F137" s="40"/>
      <c r="G137" s="39"/>
    </row>
    <row r="138" spans="2:7" ht="19.95" customHeight="1" x14ac:dyDescent="0.45">
      <c r="D138" s="36"/>
      <c r="E138" s="149" t="s">
        <v>935</v>
      </c>
      <c r="F138" s="40"/>
      <c r="G138" s="39"/>
    </row>
    <row r="139" spans="2:7" ht="19.95" customHeight="1" x14ac:dyDescent="0.45">
      <c r="D139" s="36"/>
      <c r="E139" s="149" t="s">
        <v>936</v>
      </c>
      <c r="F139" s="40"/>
      <c r="G139" s="39"/>
    </row>
    <row r="140" spans="2:7" ht="19.95" customHeight="1" x14ac:dyDescent="0.45">
      <c r="D140" s="41"/>
      <c r="E140" s="149" t="s">
        <v>937</v>
      </c>
      <c r="F140" s="42"/>
      <c r="G140" s="43"/>
    </row>
    <row r="141" spans="2:7" ht="19.95" customHeight="1" x14ac:dyDescent="0.45">
      <c r="B141" s="23">
        <f t="shared" ref="B141" si="18">B136+1</f>
        <v>28</v>
      </c>
      <c r="C141" s="24" t="str">
        <f>"ﾘｽﾄ!C"&amp;B141+2</f>
        <v>ﾘｽﾄ!C30</v>
      </c>
      <c r="D141" s="44" t="str">
        <f>IFERROR(VLOOKUP($B141,ﾘｽﾄ!A:B,2,FALSE),"")</f>
        <v>公共ソリューション部</v>
      </c>
      <c r="E141" s="108" t="s">
        <v>938</v>
      </c>
      <c r="F141" s="46" t="str" cm="1">
        <f t="array" aca="1" ref="F141" ca="1">HYPERLINK(INDIRECT(C141),D141)</f>
        <v>公共ソリューション部</v>
      </c>
      <c r="G141" s="45"/>
    </row>
    <row r="142" spans="2:7" ht="19.95" customHeight="1" x14ac:dyDescent="0.45">
      <c r="D142" s="36"/>
      <c r="E142" s="106" t="s">
        <v>939</v>
      </c>
      <c r="F142" s="40"/>
      <c r="G142" s="39"/>
    </row>
    <row r="143" spans="2:7" ht="19.95" customHeight="1" x14ac:dyDescent="0.45">
      <c r="D143" s="36"/>
      <c r="E143" s="106" t="s">
        <v>940</v>
      </c>
      <c r="F143" s="40"/>
      <c r="G143" s="39"/>
    </row>
    <row r="144" spans="2:7" ht="19.95" customHeight="1" x14ac:dyDescent="0.45">
      <c r="D144" s="36"/>
      <c r="E144" s="106"/>
      <c r="F144" s="40"/>
      <c r="G144" s="39"/>
    </row>
    <row r="145" spans="2:7" ht="19.95" customHeight="1" x14ac:dyDescent="0.45">
      <c r="D145" s="41"/>
      <c r="E145" s="107" t="s">
        <v>941</v>
      </c>
      <c r="F145" s="42"/>
      <c r="G145" s="43"/>
    </row>
    <row r="146" spans="2:7" ht="19.95" customHeight="1" x14ac:dyDescent="0.45">
      <c r="B146" s="23">
        <f t="shared" ref="B146" si="19">B141+1</f>
        <v>29</v>
      </c>
      <c r="C146" s="24" t="str">
        <f t="shared" ref="C146" si="20">"ﾘｽﾄ!C"&amp;B146+2</f>
        <v>ﾘｽﾄ!C31</v>
      </c>
      <c r="D146" s="44" t="str">
        <f>IFERROR(VLOOKUP($B146,ﾘｽﾄ!A:B,2,FALSE),"")</f>
        <v>ソリューション開発部</v>
      </c>
      <c r="E146" s="142" t="s">
        <v>942</v>
      </c>
      <c r="F146" s="46" t="str" cm="1">
        <f t="array" aca="1" ref="F146" ca="1">HYPERLINK(INDIRECT(C146),D146)</f>
        <v>ソリューション開発部</v>
      </c>
      <c r="G146" s="45"/>
    </row>
    <row r="147" spans="2:7" ht="19.95" customHeight="1" x14ac:dyDescent="0.45">
      <c r="D147" s="36"/>
      <c r="E147" s="140" t="s">
        <v>166</v>
      </c>
      <c r="F147" s="40"/>
      <c r="G147" s="39"/>
    </row>
    <row r="148" spans="2:7" ht="19.95" customHeight="1" x14ac:dyDescent="0.45">
      <c r="D148" s="36"/>
      <c r="E148" s="140" t="s">
        <v>943</v>
      </c>
      <c r="F148" s="40"/>
      <c r="G148" s="39"/>
    </row>
    <row r="149" spans="2:7" ht="19.95" customHeight="1" x14ac:dyDescent="0.45">
      <c r="D149" s="36"/>
      <c r="E149" s="140" t="s">
        <v>944</v>
      </c>
      <c r="F149" s="40"/>
      <c r="G149" s="39"/>
    </row>
    <row r="150" spans="2:7" ht="19.95" customHeight="1" x14ac:dyDescent="0.45">
      <c r="D150" s="36"/>
      <c r="E150" s="106" t="s">
        <v>795</v>
      </c>
      <c r="F150" s="40"/>
      <c r="G150" s="39"/>
    </row>
    <row r="151" spans="2:7" ht="19.95" customHeight="1" x14ac:dyDescent="0.45">
      <c r="D151" s="41"/>
      <c r="E151" s="107" t="s">
        <v>796</v>
      </c>
      <c r="F151" s="42"/>
      <c r="G151" s="43"/>
    </row>
    <row r="152" spans="2:7" ht="19.95" customHeight="1" x14ac:dyDescent="0.45">
      <c r="B152" s="23">
        <f t="shared" ref="B152" si="21">B146+1</f>
        <v>30</v>
      </c>
      <c r="C152" s="24" t="str">
        <f t="shared" ref="C152" si="22">"ﾘｽﾄ!C"&amp;B152+2</f>
        <v>ﾘｽﾄ!C32</v>
      </c>
      <c r="D152" s="44" t="str">
        <f>IFERROR(VLOOKUP($B152,ﾘｽﾄ!A:B,2,FALSE),"")</f>
        <v>公共ソリューション開発センター</v>
      </c>
      <c r="E152" s="108" t="s">
        <v>945</v>
      </c>
      <c r="F152" s="46" t="str" cm="1">
        <f t="array" aca="1" ref="F152" ca="1">HYPERLINK(INDIRECT(C152),D152)</f>
        <v>公共ソリューション開発センター</v>
      </c>
      <c r="G152" s="45"/>
    </row>
    <row r="153" spans="2:7" ht="19.95" customHeight="1" x14ac:dyDescent="0.45">
      <c r="D153" s="36"/>
      <c r="E153" s="106" t="s">
        <v>499</v>
      </c>
      <c r="F153" s="40"/>
      <c r="G153" s="39"/>
    </row>
    <row r="154" spans="2:7" ht="19.95" customHeight="1" x14ac:dyDescent="0.45">
      <c r="D154" s="36"/>
      <c r="E154" s="106" t="s">
        <v>946</v>
      </c>
      <c r="F154" s="40"/>
      <c r="G154" s="39"/>
    </row>
    <row r="155" spans="2:7" ht="19.95" customHeight="1" x14ac:dyDescent="0.45">
      <c r="D155" s="36"/>
      <c r="E155" s="25" t="s">
        <v>947</v>
      </c>
      <c r="F155" s="40"/>
      <c r="G155" s="39"/>
    </row>
    <row r="156" spans="2:7" ht="19.95" customHeight="1" x14ac:dyDescent="0.45">
      <c r="D156" s="41"/>
      <c r="E156" s="107" t="s">
        <v>948</v>
      </c>
      <c r="F156" s="42"/>
      <c r="G156" s="43"/>
    </row>
    <row r="157" spans="2:7" ht="19.95" customHeight="1" x14ac:dyDescent="0.45">
      <c r="B157" s="23">
        <f t="shared" ref="B157" si="23">B152+1</f>
        <v>31</v>
      </c>
      <c r="C157" s="24" t="str">
        <f t="shared" ref="C157" si="24">"ﾘｽﾄ!C"&amp;B157+2</f>
        <v>ﾘｽﾄ!C33</v>
      </c>
      <c r="D157" s="44" t="str">
        <f>IFERROR(VLOOKUP($B157,ﾘｽﾄ!A:B,2,FALSE),"")</f>
        <v>システムプロデュース事業部</v>
      </c>
      <c r="E157" s="108" t="s">
        <v>949</v>
      </c>
      <c r="F157" s="46" t="str" cm="1">
        <f t="array" aca="1" ref="F157" ca="1">HYPERLINK(INDIRECT(C157),D157)</f>
        <v>システムプロデュース事業部</v>
      </c>
      <c r="G157" s="45"/>
    </row>
    <row r="158" spans="2:7" ht="19.95" customHeight="1" x14ac:dyDescent="0.45">
      <c r="D158" s="36"/>
      <c r="E158" s="106" t="s">
        <v>950</v>
      </c>
      <c r="F158" s="40"/>
      <c r="G158" s="39"/>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41"/>
      <c r="E161" s="107"/>
      <c r="F161" s="42"/>
      <c r="G161" s="43"/>
    </row>
    <row r="162" spans="2:7" ht="19.95" customHeight="1" x14ac:dyDescent="0.45">
      <c r="B162" s="23">
        <f t="shared" ref="B162" si="25">B157+1</f>
        <v>32</v>
      </c>
      <c r="C162" s="24" t="str">
        <f t="shared" ref="C162" si="26">"ﾘｽﾄ!C"&amp;B162+2</f>
        <v>ﾘｽﾄ!C34</v>
      </c>
      <c r="D162" s="44" t="str">
        <f>IFERROR(VLOOKUP($B162,ﾘｽﾄ!A:B,2,FALSE),"")</f>
        <v>デジタルイノベーション推進部</v>
      </c>
      <c r="E162" s="108" t="s">
        <v>951</v>
      </c>
      <c r="F162" s="46" t="str" cm="1">
        <f t="array" aca="1" ref="F162" ca="1">HYPERLINK(INDIRECT(C162),D162)</f>
        <v>デジタルイノベーション推進部</v>
      </c>
      <c r="G162" s="45"/>
    </row>
    <row r="163" spans="2:7" ht="19.95" customHeight="1" x14ac:dyDescent="0.45">
      <c r="D163" s="36"/>
      <c r="E163" s="106" t="s">
        <v>952</v>
      </c>
      <c r="F163" s="40"/>
      <c r="G163" s="39"/>
    </row>
    <row r="164" spans="2:7" ht="19.95" customHeight="1" x14ac:dyDescent="0.45">
      <c r="D164" s="36"/>
      <c r="E164" s="106" t="s">
        <v>179</v>
      </c>
      <c r="F164" s="40"/>
      <c r="G164" s="39"/>
    </row>
    <row r="165" spans="2:7" ht="19.95" customHeight="1" x14ac:dyDescent="0.45">
      <c r="D165" s="36"/>
      <c r="E165" s="106" t="s">
        <v>653</v>
      </c>
      <c r="F165" s="40"/>
      <c r="G165" s="39"/>
    </row>
    <row r="166" spans="2:7" ht="19.95" customHeight="1" x14ac:dyDescent="0.45">
      <c r="D166" s="41"/>
      <c r="E166" s="107" t="s">
        <v>654</v>
      </c>
      <c r="F166" s="42"/>
      <c r="G166" s="43"/>
    </row>
    <row r="167" spans="2:7" ht="19.95" customHeight="1" x14ac:dyDescent="0.45">
      <c r="B167" s="23">
        <f t="shared" ref="B167" si="27">B162+1</f>
        <v>33</v>
      </c>
      <c r="C167" s="24" t="str">
        <f t="shared" ref="C167" si="28">"ﾘｽﾄ!C"&amp;B167+2</f>
        <v>ﾘｽﾄ!C35</v>
      </c>
      <c r="D167" s="44" t="str">
        <f>IFERROR(VLOOKUP($B167,ﾘｽﾄ!A:B,2,FALSE),"")</f>
        <v>施設予約サービス部</v>
      </c>
      <c r="E167" s="135" t="s">
        <v>805</v>
      </c>
      <c r="F167" s="46" t="str" cm="1">
        <f t="array" aca="1" ref="F167" ca="1">HYPERLINK(INDIRECT(C167),D167)</f>
        <v>施設予約サービス部</v>
      </c>
      <c r="G167" s="45"/>
    </row>
    <row r="168" spans="2:7" ht="19.95" customHeight="1" x14ac:dyDescent="0.45">
      <c r="D168" s="36"/>
      <c r="E168" s="106" t="s">
        <v>953</v>
      </c>
      <c r="F168" s="40"/>
      <c r="G168" s="39"/>
    </row>
    <row r="169" spans="2:7" ht="19.95" customHeight="1" x14ac:dyDescent="0.45">
      <c r="D169" s="36"/>
      <c r="E169" s="106" t="s">
        <v>954</v>
      </c>
      <c r="F169" s="40"/>
      <c r="G169" s="39"/>
    </row>
    <row r="170" spans="2:7" ht="19.95" customHeight="1" x14ac:dyDescent="0.45">
      <c r="D170" s="36"/>
      <c r="E170" s="106" t="s">
        <v>955</v>
      </c>
      <c r="F170" s="40"/>
      <c r="G170" s="39"/>
    </row>
    <row r="171" spans="2:7" ht="19.95" customHeight="1" x14ac:dyDescent="0.45">
      <c r="D171" s="41"/>
      <c r="E171" s="107" t="s">
        <v>956</v>
      </c>
      <c r="F171" s="42"/>
      <c r="G171" s="43"/>
    </row>
    <row r="172" spans="2:7" ht="19.95" customHeight="1" x14ac:dyDescent="0.45">
      <c r="B172" s="23">
        <f t="shared" ref="B172" si="29">B167+1</f>
        <v>34</v>
      </c>
      <c r="C172" s="24" t="str">
        <f t="shared" ref="C172" si="30">"ﾘｽﾄ!C"&amp;B172+2</f>
        <v>ﾘｽﾄ!C36</v>
      </c>
      <c r="D172" s="44" t="str">
        <f>IFERROR(VLOOKUP($B172,ﾘｽﾄ!A:B,2,FALSE),"")</f>
        <v>ソリューションサービス部</v>
      </c>
      <c r="E172" s="135" t="s">
        <v>810</v>
      </c>
      <c r="F172" s="46" t="str" cm="1">
        <f t="array" aca="1" ref="F172" ca="1">HYPERLINK(INDIRECT(C172),D172)</f>
        <v>ソリューションサービス部</v>
      </c>
      <c r="G172" s="45"/>
    </row>
    <row r="173" spans="2:7" ht="19.95" customHeight="1" x14ac:dyDescent="0.45">
      <c r="D173" s="36"/>
      <c r="E173" s="106" t="s">
        <v>812</v>
      </c>
      <c r="F173" s="40"/>
      <c r="G173" s="39"/>
    </row>
    <row r="174" spans="2:7" ht="19.95" customHeight="1" x14ac:dyDescent="0.45">
      <c r="D174" s="36"/>
      <c r="E174" s="106" t="s">
        <v>355</v>
      </c>
      <c r="F174" s="40"/>
      <c r="G174" s="39" t="s">
        <v>957</v>
      </c>
    </row>
    <row r="175" spans="2:7" ht="19.95" customHeight="1" x14ac:dyDescent="0.45">
      <c r="D175" s="36"/>
      <c r="E175" s="106" t="s">
        <v>958</v>
      </c>
      <c r="F175" s="40"/>
      <c r="G175" s="39" t="s">
        <v>959</v>
      </c>
    </row>
    <row r="176" spans="2:7" ht="19.95" customHeight="1" x14ac:dyDescent="0.45">
      <c r="D176" s="41"/>
      <c r="E176" s="165" t="s">
        <v>960</v>
      </c>
      <c r="F176" s="42"/>
      <c r="G176" s="43" t="s">
        <v>961</v>
      </c>
    </row>
    <row r="177" spans="2:7" ht="19.95" customHeight="1" x14ac:dyDescent="0.45">
      <c r="B177" s="23">
        <f t="shared" ref="B177" si="31">B172+1</f>
        <v>35</v>
      </c>
      <c r="C177" s="24" t="str">
        <f t="shared" ref="C177" si="32">"ﾘｽﾄ!C"&amp;B177+2</f>
        <v>ﾘｽﾄ!C37</v>
      </c>
      <c r="D177" s="44" t="str">
        <f>IFERROR(VLOOKUP($B177,ﾘｽﾄ!A:B,2,FALSE),"")</f>
        <v>ソリューション事業部</v>
      </c>
      <c r="E177" s="106"/>
      <c r="F177" s="46" t="str" cm="1">
        <f t="array" aca="1" ref="F177" ca="1">HYPERLINK(INDIRECT(C177),D177)</f>
        <v>ソリューション事業部</v>
      </c>
      <c r="G177" s="45"/>
    </row>
    <row r="178" spans="2:7" ht="19.95" customHeight="1" x14ac:dyDescent="0.45">
      <c r="D178" s="36"/>
      <c r="E178" s="106"/>
      <c r="F178" s="40"/>
      <c r="G178" s="39"/>
    </row>
    <row r="179" spans="2:7" ht="19.95" customHeight="1" x14ac:dyDescent="0.45">
      <c r="D179" s="36"/>
      <c r="F179" s="40"/>
      <c r="G179" s="39"/>
    </row>
    <row r="180" spans="2:7" ht="19.95" customHeight="1" x14ac:dyDescent="0.45">
      <c r="D180" s="36"/>
      <c r="F180" s="40"/>
      <c r="G180" s="39"/>
    </row>
    <row r="181" spans="2:7" ht="19.95" customHeight="1" x14ac:dyDescent="0.45">
      <c r="D181" s="41"/>
      <c r="E181" s="107"/>
      <c r="F181" s="42"/>
      <c r="G181" s="43"/>
    </row>
    <row r="182" spans="2:7" ht="19.95" customHeight="1" x14ac:dyDescent="0.45">
      <c r="B182" s="23">
        <f t="shared" ref="B182" si="33">B177+1</f>
        <v>36</v>
      </c>
      <c r="C182" s="24" t="str">
        <f t="shared" ref="C182" si="34">"ﾘｽﾄ!C"&amp;B182+2</f>
        <v>ﾘｽﾄ!C38</v>
      </c>
      <c r="D182" s="44" t="str">
        <f>IFERROR(VLOOKUP($B182,ﾘｽﾄ!A:B,2,FALSE),"")</f>
        <v>東京本社マネジメント推進部</v>
      </c>
      <c r="E182" s="154" t="s">
        <v>817</v>
      </c>
      <c r="F182" s="207" t="str" cm="1">
        <f t="array" aca="1" ref="F182" ca="1">HYPERLINK(INDIRECT(C182),D182)</f>
        <v>東京本社マネジメント推進部</v>
      </c>
      <c r="G182" s="45"/>
    </row>
    <row r="183" spans="2:7" ht="19.95" customHeight="1" x14ac:dyDescent="0.45">
      <c r="D183" s="36"/>
      <c r="E183" s="154" t="s">
        <v>962</v>
      </c>
      <c r="F183" s="206"/>
      <c r="G183" s="39"/>
    </row>
    <row r="184" spans="2:7" ht="19.95" customHeight="1" x14ac:dyDescent="0.45">
      <c r="D184" s="36"/>
      <c r="E184" s="154" t="s">
        <v>963</v>
      </c>
      <c r="F184" s="206"/>
      <c r="G184" s="39"/>
    </row>
    <row r="185" spans="2:7" ht="19.95" customHeight="1" x14ac:dyDescent="0.45">
      <c r="D185" s="36"/>
      <c r="E185" s="154" t="s">
        <v>964</v>
      </c>
      <c r="F185" s="206"/>
      <c r="G185" s="39"/>
    </row>
    <row r="186" spans="2:7" ht="19.95" customHeight="1" x14ac:dyDescent="0.45">
      <c r="D186" s="41"/>
      <c r="E186" s="154"/>
      <c r="F186" s="205"/>
      <c r="G186" s="43"/>
    </row>
    <row r="187" spans="2:7" ht="19.95" customHeight="1" x14ac:dyDescent="0.45">
      <c r="B187" s="23">
        <f t="shared" ref="B187" si="35">B182+1</f>
        <v>37</v>
      </c>
      <c r="C187" s="24" t="str">
        <f t="shared" ref="C187" si="36">"ﾘｽﾄ!C"&amp;B187+2</f>
        <v>ﾘｽﾄ!C39</v>
      </c>
      <c r="D187" s="44" t="str">
        <f>IFERROR(VLOOKUP($B187,ﾘｽﾄ!A:B,2,FALSE),"")</f>
        <v>佐藤執行役員</v>
      </c>
      <c r="E187" s="108"/>
      <c r="F187" s="46" t="str" cm="1">
        <f t="array" aca="1" ref="F187" ca="1">HYPERLINK(INDIRECT(C187),D187)</f>
        <v>佐藤執行役員</v>
      </c>
      <c r="G187" s="45"/>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47"/>
      <c r="E191" s="107"/>
      <c r="F191" s="42"/>
      <c r="G191" s="43"/>
    </row>
    <row r="192" spans="2:7" ht="19.95" customHeight="1" x14ac:dyDescent="0.45">
      <c r="B192" s="23">
        <f t="shared" ref="B192" si="37">B187+1</f>
        <v>38</v>
      </c>
      <c r="C192" s="24" t="str">
        <f t="shared" ref="C192" si="38">"ﾘｽﾄ!C"&amp;B192+2</f>
        <v>ﾘｽﾄ!C40</v>
      </c>
      <c r="D192" s="44" t="str">
        <f>IFERROR(VLOOKUP($B192,ﾘｽﾄ!A:B,2,FALSE),"")</f>
        <v>中島常務執行役員</v>
      </c>
      <c r="E192" s="108" t="s">
        <v>965</v>
      </c>
      <c r="F192" s="46" t="str" cm="1">
        <f t="array" aca="1" ref="F192" ca="1">HYPERLINK(INDIRECT(C192),D192)</f>
        <v>中島常務執行役員</v>
      </c>
      <c r="G192" s="45"/>
    </row>
    <row r="193" spans="2:7" ht="19.95" customHeight="1" x14ac:dyDescent="0.45">
      <c r="D193" s="36"/>
      <c r="E193" s="106" t="s">
        <v>966</v>
      </c>
      <c r="F193" s="40"/>
      <c r="G193" s="39"/>
    </row>
    <row r="194" spans="2:7" ht="19.95" customHeight="1" x14ac:dyDescent="0.45">
      <c r="D194" s="36"/>
      <c r="E194" s="106"/>
      <c r="F194" s="40"/>
      <c r="G194" s="39"/>
    </row>
    <row r="195" spans="2:7" ht="19.95" customHeight="1" x14ac:dyDescent="0.45">
      <c r="D195" s="36"/>
      <c r="E195" s="106"/>
      <c r="F195" s="40"/>
      <c r="G195" s="39"/>
    </row>
    <row r="196" spans="2:7" ht="19.95" customHeight="1" x14ac:dyDescent="0.45">
      <c r="D196" s="47"/>
      <c r="E196" s="107"/>
      <c r="F196" s="42"/>
      <c r="G196" s="43"/>
    </row>
    <row r="197" spans="2:7" ht="19.95" customHeight="1" x14ac:dyDescent="0.45">
      <c r="B197" s="23">
        <f t="shared" ref="B197" si="39">B192+1</f>
        <v>39</v>
      </c>
      <c r="C197" s="24" t="str">
        <f t="shared" ref="C197" si="40">"ﾘｽﾄ!C"&amp;B197+2</f>
        <v>ﾘｽﾄ!C41</v>
      </c>
      <c r="D197" s="44" t="str">
        <f>IFERROR(VLOOKUP($B197,ﾘｽﾄ!A:B,2,FALSE),"")</f>
        <v>河野取締役</v>
      </c>
      <c r="E197" s="108" t="s">
        <v>967</v>
      </c>
      <c r="F197" s="46" t="str" cm="1">
        <f t="array" aca="1" ref="F197" ca="1">HYPERLINK(INDIRECT(C197),D197)</f>
        <v>河野取締役</v>
      </c>
      <c r="G197" s="45"/>
    </row>
    <row r="198" spans="2:7" ht="19.95" customHeight="1" x14ac:dyDescent="0.45">
      <c r="D198" s="36"/>
      <c r="E198" s="106" t="s">
        <v>968</v>
      </c>
      <c r="F198" s="40"/>
      <c r="G198" s="39"/>
    </row>
    <row r="199" spans="2:7" ht="19.95" customHeight="1" x14ac:dyDescent="0.45">
      <c r="D199" s="36"/>
      <c r="E199" s="106" t="s">
        <v>969</v>
      </c>
      <c r="F199" s="40"/>
      <c r="G199" s="39"/>
    </row>
    <row r="200" spans="2:7" ht="19.95" customHeight="1" x14ac:dyDescent="0.45">
      <c r="D200" s="36"/>
      <c r="E200" s="106" t="s">
        <v>970</v>
      </c>
      <c r="F200" s="40"/>
      <c r="G200" s="39"/>
    </row>
    <row r="201" spans="2:7" ht="19.95" customHeight="1" x14ac:dyDescent="0.45">
      <c r="D201" s="47"/>
      <c r="E201" s="107"/>
      <c r="F201" s="42"/>
      <c r="G201" s="43"/>
    </row>
    <row r="202" spans="2:7" ht="19.95" customHeight="1" x14ac:dyDescent="0.45">
      <c r="B202" s="23">
        <f t="shared" ref="B202" si="41">B197+1</f>
        <v>40</v>
      </c>
      <c r="C202" s="24" t="str">
        <f t="shared" ref="C202" si="42">"ﾘｽﾄ!C"&amp;B202+2</f>
        <v>ﾘｽﾄ!C42</v>
      </c>
      <c r="D202" s="44" t="str">
        <f>IFERROR(VLOOKUP($B202,ﾘｽﾄ!A:B,2,FALSE),"")</f>
        <v>安東常務</v>
      </c>
      <c r="E202" s="108"/>
      <c r="F202" s="46" t="str" cm="1">
        <f t="array" aca="1" ref="F202" ca="1">HYPERLINK(INDIRECT(C202),D202)</f>
        <v>安東常務</v>
      </c>
      <c r="G202" s="45"/>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47"/>
      <c r="E206" s="107"/>
      <c r="F206" s="42"/>
      <c r="G206" s="43"/>
    </row>
    <row r="207" spans="2:7" ht="19.95" customHeight="1" x14ac:dyDescent="0.45">
      <c r="B207" s="23">
        <f t="shared" ref="B207" si="43">B202+1</f>
        <v>41</v>
      </c>
      <c r="C207" s="24" t="str">
        <f t="shared" ref="C207" si="44">"ﾘｽﾄ!C"&amp;B207+2</f>
        <v>ﾘｽﾄ!C43</v>
      </c>
      <c r="D207" s="44" t="str">
        <f>IFERROR(VLOOKUP($B207,ﾘｽﾄ!A:B,2,FALSE),"")</f>
        <v>岡田常務</v>
      </c>
      <c r="E207" s="108"/>
      <c r="F207" s="46" t="str" cm="1">
        <f t="array" aca="1" ref="F207" ca="1">HYPERLINK(INDIRECT(C207),D207)</f>
        <v>岡田常務</v>
      </c>
      <c r="G207" s="45"/>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47"/>
      <c r="E211" s="107"/>
      <c r="F211" s="42"/>
      <c r="G211" s="43"/>
    </row>
    <row r="212" spans="2:7" ht="19.95" customHeight="1" x14ac:dyDescent="0.45">
      <c r="B212" s="23">
        <f t="shared" ref="B212" si="45">B207+1</f>
        <v>42</v>
      </c>
      <c r="C212" s="24" t="str">
        <f t="shared" ref="C212" si="46">"ﾘｽﾄ!C"&amp;B212+2</f>
        <v>ﾘｽﾄ!C44</v>
      </c>
      <c r="D212" s="44" t="str">
        <f>IFERROR(VLOOKUP($B212,ﾘｽﾄ!A:B,2,FALSE),"")</f>
        <v>加藤社長</v>
      </c>
      <c r="E212" s="108" t="s">
        <v>971</v>
      </c>
      <c r="F212" s="46" t="str" cm="1">
        <f t="array" aca="1" ref="F212" ca="1">HYPERLINK(INDIRECT(C212),D212)</f>
        <v>加藤社長</v>
      </c>
      <c r="G212" s="45"/>
    </row>
    <row r="213" spans="2:7" ht="19.95" customHeight="1" x14ac:dyDescent="0.45">
      <c r="D213" s="36"/>
      <c r="E213" s="211" t="s">
        <v>972</v>
      </c>
      <c r="F213" s="40"/>
      <c r="G213" s="39"/>
    </row>
    <row r="214" spans="2:7" ht="19.95" customHeight="1" x14ac:dyDescent="0.45">
      <c r="D214" s="36"/>
      <c r="E214" s="106" t="s">
        <v>973</v>
      </c>
      <c r="F214" s="40"/>
      <c r="G214" s="39"/>
    </row>
    <row r="215" spans="2:7" ht="19.95" customHeight="1" x14ac:dyDescent="0.45">
      <c r="D215" s="36"/>
      <c r="E215" s="106" t="s">
        <v>974</v>
      </c>
      <c r="F215" s="40"/>
      <c r="G215" s="39"/>
    </row>
    <row r="216" spans="2:7" ht="19.95" customHeight="1" thickBot="1" x14ac:dyDescent="0.5">
      <c r="D216" s="48"/>
      <c r="E216" s="109" t="s">
        <v>975</v>
      </c>
      <c r="F216" s="49"/>
      <c r="G216" s="50"/>
    </row>
    <row r="217" spans="2:7" x14ac:dyDescent="0.45">
      <c r="D217" s="111"/>
      <c r="E217" s="112"/>
      <c r="F217" s="113"/>
      <c r="G217" s="112"/>
    </row>
  </sheetData>
  <sheetProtection algorithmName="SHA-512" hashValue="Ft4WocNKLcKyxqxMy6AkDTHAR7UcNBPsuwnAynUDuFqdwUBXGdfinyuofLORgMSlxHOgYLetWQpko6qULwNsWg==" saltValue="OnmSiCw+g8oHRpScCw/0ew==" spinCount="100000" sheet="1" objects="1" scenarios="1"/>
  <phoneticPr fontId="1"/>
  <hyperlinks>
    <hyperlink ref="G64" r:id="rId1" xr:uid="{A5301A9C-6A9C-45C5-90FE-371C8FF17499}"/>
    <hyperlink ref="G61" r:id="rId2" xr:uid="{5EFE3642-FB46-459B-9D38-E6862AC834C5}"/>
    <hyperlink ref="G34" r:id="rId3" xr:uid="{F34D86EC-6E36-4134-AD06-01E73F2EC05C}"/>
    <hyperlink ref="F1" location="ﾘｽﾄ!A1" display="格納先一覧はこちら" xr:uid="{A8926169-F363-42C5-8E73-D2F6EEA01EC3}"/>
    <hyperlink ref="G20" r:id="rId4" display="CI（コーポレート・アイデンティティー）公開情報の振り返り (cybozu.com)" xr:uid="{EB56E0F9-FB75-47CA-AAA4-B1634C3AE6EC}"/>
    <hyperlink ref="G21" r:id="rId5" display="【VI】提案書テンプレートの公募について (cybozu.com)" xr:uid="{716D985B-B83E-479E-9030-4BF5ED0FC7DE}"/>
  </hyperlinks>
  <printOptions horizontalCentered="1"/>
  <pageMargins left="0" right="0" top="0" bottom="0" header="0.31496062992125984" footer="0.31496062992125984"/>
  <pageSetup paperSize="8" scale="72" fitToHeight="3" orientation="portrait" horizontalDpi="1200" verticalDpi="1200" r:id="rId6"/>
  <rowBreaks count="2" manualBreakCount="2">
    <brk id="79" min="3" max="6" man="1"/>
    <brk id="145" min="3" max="6"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B62FC-04C5-46F6-896C-415361C2894D}">
  <sheetPr codeName="Sheet9">
    <tabColor rgb="FFFFFF00"/>
  </sheetPr>
  <dimension ref="A1:G218"/>
  <sheetViews>
    <sheetView showGridLines="0" zoomScale="80" zoomScaleNormal="80" workbookViewId="0">
      <pane ySplit="4" topLeftCell="A97" activePane="bottomLeft" state="frozen"/>
      <selection activeCell="D1" sqref="D1"/>
      <selection pane="bottomLeft" activeCell="E47" sqref="E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7</v>
      </c>
      <c r="E1" s="30" t="s">
        <v>7</v>
      </c>
      <c r="F1" s="51" t="s">
        <v>8</v>
      </c>
      <c r="G1" s="52" t="s">
        <v>9</v>
      </c>
    </row>
    <row r="2" spans="1:7" x14ac:dyDescent="0.45">
      <c r="A2" s="26" cm="1">
        <f t="array" aca="1" ref="A2" ca="1">VALUE(MID(CELL("filename",A2),FIND("]",CELL("filename",A2))+1,99))</f>
        <v>7</v>
      </c>
      <c r="B2" s="27"/>
      <c r="C2" s="28"/>
      <c r="D2" s="95" t="s">
        <v>10</v>
      </c>
      <c r="G2" s="101" t="s">
        <v>11</v>
      </c>
    </row>
    <row r="3" spans="1:7" ht="24.6" customHeight="1" thickBot="1" x14ac:dyDescent="0.5">
      <c r="A3" s="26"/>
      <c r="D3" s="93">
        <f>IFERROR(VLOOKUP($A$1,目次!$C$5:$I$100,5,FALSE),"")</f>
        <v>45436</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976</v>
      </c>
      <c r="F5" s="37" t="str" cm="1">
        <f t="array" aca="1" ref="F5" ca="1">HYPERLINK(INDIRECT(C5),D5)</f>
        <v>総務部</v>
      </c>
      <c r="G5" s="38"/>
    </row>
    <row r="6" spans="1:7" ht="19.95" customHeight="1" x14ac:dyDescent="0.45">
      <c r="D6" s="36"/>
      <c r="E6" s="213" t="s">
        <v>977</v>
      </c>
      <c r="F6" s="37"/>
      <c r="G6" s="39"/>
    </row>
    <row r="7" spans="1:7" ht="19.95" customHeight="1" x14ac:dyDescent="0.45">
      <c r="D7" s="36"/>
      <c r="E7" s="106" t="s">
        <v>978</v>
      </c>
      <c r="F7" s="40"/>
      <c r="G7" s="39"/>
    </row>
    <row r="8" spans="1:7" ht="19.95" customHeight="1" x14ac:dyDescent="0.45">
      <c r="D8" s="36"/>
      <c r="E8" s="106" t="s">
        <v>979</v>
      </c>
      <c r="F8" s="40"/>
      <c r="G8" s="39"/>
    </row>
    <row r="9" spans="1:7" ht="19.95" customHeight="1" x14ac:dyDescent="0.45">
      <c r="D9" s="41"/>
      <c r="E9" s="214" t="s">
        <v>833</v>
      </c>
      <c r="F9" s="42"/>
      <c r="G9" s="43"/>
    </row>
    <row r="10" spans="1:7" ht="19.95" customHeight="1" x14ac:dyDescent="0.45">
      <c r="B10" s="23">
        <f>B5+1</f>
        <v>2</v>
      </c>
      <c r="C10" s="24" t="str">
        <f>"ﾘｽﾄ!C"&amp;B10+2</f>
        <v>ﾘｽﾄ!C4</v>
      </c>
      <c r="D10" s="44" t="str">
        <f>IFERROR(VLOOKUP($B10,ﾘｽﾄ!A:B,2,FALSE),"")</f>
        <v>人事部</v>
      </c>
      <c r="E10" s="215" t="s">
        <v>980</v>
      </c>
      <c r="F10" s="37" t="str" cm="1">
        <f t="array" aca="1" ref="F10" ca="1">HYPERLINK(INDIRECT(C10),D10)</f>
        <v>人事部</v>
      </c>
      <c r="G10" s="45"/>
    </row>
    <row r="11" spans="1:7" ht="19.95" customHeight="1" x14ac:dyDescent="0.45">
      <c r="D11" s="36"/>
      <c r="E11" s="179" t="s">
        <v>981</v>
      </c>
      <c r="F11" s="37"/>
      <c r="G11" s="39"/>
    </row>
    <row r="12" spans="1:7" ht="19.95" customHeight="1" x14ac:dyDescent="0.45">
      <c r="D12" s="36"/>
      <c r="E12" s="198" t="s">
        <v>837</v>
      </c>
      <c r="F12" s="37"/>
      <c r="G12" s="39"/>
    </row>
    <row r="13" spans="1:7" ht="19.95" customHeight="1" x14ac:dyDescent="0.45">
      <c r="D13" s="36"/>
      <c r="E13" s="198" t="s">
        <v>982</v>
      </c>
      <c r="F13" s="40"/>
      <c r="G13" s="39"/>
    </row>
    <row r="14" spans="1:7" ht="19.95" customHeight="1" x14ac:dyDescent="0.45">
      <c r="D14" s="41"/>
      <c r="E14" s="194" t="s">
        <v>983</v>
      </c>
      <c r="F14" s="42"/>
      <c r="G14" s="43"/>
    </row>
    <row r="15" spans="1:7" ht="19.95" customHeight="1" x14ac:dyDescent="0.45">
      <c r="B15" s="23">
        <f>B10+1</f>
        <v>3</v>
      </c>
      <c r="C15" s="24" t="str">
        <f>"ﾘｽﾄ!C"&amp;B15+2</f>
        <v>ﾘｽﾄ!C5</v>
      </c>
      <c r="D15" s="44" t="str">
        <f>IFERROR(VLOOKUP($B15,ﾘｽﾄ!A:B,2,FALSE),"")</f>
        <v>総務・人事統括部</v>
      </c>
      <c r="E15" s="108" t="s">
        <v>841</v>
      </c>
      <c r="F15" s="37" t="str" cm="1">
        <f t="array" aca="1" ref="F15" ca="1">HYPERLINK(INDIRECT(C15),D15)</f>
        <v>総務・人事統括部</v>
      </c>
      <c r="G15" s="45"/>
    </row>
    <row r="16" spans="1:7" ht="19.95" customHeight="1" x14ac:dyDescent="0.45">
      <c r="D16" s="36"/>
      <c r="E16" s="106" t="s">
        <v>984</v>
      </c>
      <c r="F16" s="37"/>
      <c r="G16" s="39"/>
    </row>
    <row r="17" spans="2:7" ht="19.95" customHeight="1" x14ac:dyDescent="0.45">
      <c r="D17" s="36"/>
      <c r="E17" s="106" t="s">
        <v>985</v>
      </c>
      <c r="F17" s="40"/>
      <c r="G17" s="39"/>
    </row>
    <row r="18" spans="2:7" ht="19.95" customHeight="1" x14ac:dyDescent="0.45">
      <c r="D18" s="36"/>
      <c r="E18" s="106" t="s">
        <v>986</v>
      </c>
      <c r="F18" s="40"/>
      <c r="G18" s="39"/>
    </row>
    <row r="19" spans="2:7" ht="19.95" customHeight="1" x14ac:dyDescent="0.45">
      <c r="D19" s="41"/>
      <c r="E19" s="107" t="s">
        <v>987</v>
      </c>
      <c r="F19" s="42"/>
      <c r="G19" s="43"/>
    </row>
    <row r="20" spans="2:7" ht="19.95" customHeight="1" x14ac:dyDescent="0.45">
      <c r="B20" s="23">
        <f>B15+1</f>
        <v>4</v>
      </c>
      <c r="C20" s="24" t="str">
        <f>"ﾘｽﾄ!C"&amp;B20+2</f>
        <v>ﾘｽﾄ!C6</v>
      </c>
      <c r="D20" s="44" t="str">
        <f>IFERROR(VLOOKUP($B20,ﾘｽﾄ!A:B,2,FALSE),"")</f>
        <v>経営戦略室</v>
      </c>
      <c r="E20" s="108" t="s">
        <v>988</v>
      </c>
      <c r="F20" s="37" t="str" cm="1">
        <f t="array" aca="1" ref="F20" ca="1">HYPERLINK(INDIRECT(C20),D20)</f>
        <v>経営戦略室</v>
      </c>
      <c r="G20" s="208" t="s">
        <v>845</v>
      </c>
    </row>
    <row r="21" spans="2:7" ht="19.95" customHeight="1" x14ac:dyDescent="0.45">
      <c r="D21" s="36"/>
      <c r="E21" s="106" t="s">
        <v>989</v>
      </c>
      <c r="F21" s="40"/>
      <c r="G21" s="162" t="s">
        <v>990</v>
      </c>
    </row>
    <row r="22" spans="2:7" ht="19.95" customHeight="1" x14ac:dyDescent="0.45">
      <c r="D22" s="36"/>
      <c r="E22" s="106" t="s">
        <v>991</v>
      </c>
      <c r="F22" s="40"/>
      <c r="G22" s="39"/>
    </row>
    <row r="23" spans="2:7" ht="19.95" customHeight="1" x14ac:dyDescent="0.45">
      <c r="D23" s="36"/>
      <c r="E23" s="106" t="s">
        <v>992</v>
      </c>
      <c r="F23" s="40"/>
      <c r="G23" s="39"/>
    </row>
    <row r="24" spans="2:7" ht="19.95" customHeight="1" x14ac:dyDescent="0.45">
      <c r="D24" s="41"/>
      <c r="E24" s="107" t="s">
        <v>993</v>
      </c>
      <c r="F24" s="42"/>
      <c r="G24" s="43"/>
    </row>
    <row r="25" spans="2:7" ht="19.95" customHeight="1" x14ac:dyDescent="0.45">
      <c r="B25" s="23">
        <f>B20+1</f>
        <v>5</v>
      </c>
      <c r="C25" s="24" t="str">
        <f>"ﾘｽﾄ!C"&amp;B25+2</f>
        <v>ﾘｽﾄ!C7</v>
      </c>
      <c r="D25" s="44" t="str">
        <f>IFERROR(VLOOKUP($B25,ﾘｽﾄ!A:B,2,FALSE),"")</f>
        <v>経営管理部</v>
      </c>
      <c r="E25" s="108" t="s">
        <v>994</v>
      </c>
      <c r="F25" s="37" t="str" cm="1">
        <f t="array" aca="1" ref="F25" ca="1">HYPERLINK(INDIRECT(C25),D25)</f>
        <v>経営管理部</v>
      </c>
      <c r="G25" s="145" t="s">
        <v>995</v>
      </c>
    </row>
    <row r="26" spans="2:7" ht="19.95" customHeight="1" x14ac:dyDescent="0.45">
      <c r="D26" s="36"/>
      <c r="E26" s="106" t="s">
        <v>996</v>
      </c>
      <c r="F26" s="40"/>
      <c r="G26" s="162" t="s">
        <v>997</v>
      </c>
    </row>
    <row r="27" spans="2:7" ht="19.95" customHeight="1" x14ac:dyDescent="0.45">
      <c r="D27" s="36"/>
      <c r="E27" s="106" t="s">
        <v>998</v>
      </c>
      <c r="F27" s="40"/>
      <c r="G27" s="39"/>
    </row>
    <row r="28" spans="2:7" ht="19.95" customHeight="1" x14ac:dyDescent="0.45">
      <c r="D28" s="36"/>
      <c r="E28" s="106" t="s">
        <v>999</v>
      </c>
      <c r="F28" s="40"/>
      <c r="G28" s="39"/>
    </row>
    <row r="29" spans="2:7" ht="19.95" customHeight="1" x14ac:dyDescent="0.45">
      <c r="D29" s="41"/>
      <c r="E29" s="107" t="s">
        <v>1000</v>
      </c>
      <c r="F29" s="42"/>
      <c r="G29" s="43"/>
    </row>
    <row r="30" spans="2:7" ht="19.95" customHeight="1" x14ac:dyDescent="0.45">
      <c r="B30" s="23">
        <f>B25+1</f>
        <v>6</v>
      </c>
      <c r="C30" s="24" t="str">
        <f>"ﾘｽﾄ!C"&amp;B30+2</f>
        <v>ﾘｽﾄ!C8</v>
      </c>
      <c r="D30" s="44" t="str">
        <f>IFERROR(VLOOKUP($B30,ﾘｽﾄ!A:B,2,FALSE),"")</f>
        <v>財務部</v>
      </c>
      <c r="E30" s="156" t="s">
        <v>1001</v>
      </c>
      <c r="F30" s="37" t="str" cm="1">
        <f t="array" aca="1" ref="F30" ca="1">HYPERLINK(INDIRECT(C30),D30)</f>
        <v>財務部</v>
      </c>
      <c r="G30" s="145" t="s">
        <v>1002</v>
      </c>
    </row>
    <row r="31" spans="2:7" ht="19.95" customHeight="1" x14ac:dyDescent="0.45">
      <c r="D31" s="36"/>
      <c r="E31" s="156" t="s">
        <v>1003</v>
      </c>
      <c r="F31" s="40"/>
      <c r="G31" s="39" t="s">
        <v>1004</v>
      </c>
    </row>
    <row r="32" spans="2:7" ht="19.95" customHeight="1" x14ac:dyDescent="0.45">
      <c r="D32" s="36"/>
      <c r="E32" s="201" t="s">
        <v>1005</v>
      </c>
      <c r="F32" s="40"/>
      <c r="G32" s="39" t="s">
        <v>1006</v>
      </c>
    </row>
    <row r="33" spans="2:7" ht="19.95" customHeight="1" x14ac:dyDescent="0.45">
      <c r="D33" s="36"/>
      <c r="E33" s="201" t="s">
        <v>1007</v>
      </c>
      <c r="F33" s="40"/>
      <c r="G33" s="39" t="s">
        <v>1008</v>
      </c>
    </row>
    <row r="34" spans="2:7" ht="19.95" customHeight="1" x14ac:dyDescent="0.45">
      <c r="D34" s="41"/>
      <c r="E34" s="107" t="s">
        <v>1009</v>
      </c>
      <c r="F34" s="42"/>
      <c r="G34" s="216" t="s">
        <v>1010</v>
      </c>
    </row>
    <row r="35" spans="2:7" ht="19.95" customHeight="1" x14ac:dyDescent="0.45">
      <c r="B35" s="23">
        <f>B30+1</f>
        <v>7</v>
      </c>
      <c r="C35" s="24" t="str">
        <f>"ﾘｽﾄ!C"&amp;B35+2</f>
        <v>ﾘｽﾄ!C9</v>
      </c>
      <c r="D35" s="44" t="str">
        <f>IFERROR(VLOOKUP($B35,ﾘｽﾄ!A:B,2,FALSE),"")</f>
        <v>経営戦略・管理・財務統括部</v>
      </c>
      <c r="E35" s="108" t="s">
        <v>1011</v>
      </c>
      <c r="F35" s="37" t="str" cm="1">
        <f t="array" aca="1" ref="F35" ca="1">HYPERLINK(INDIRECT(C35),D35)</f>
        <v>経営戦略・管理・財務統括部</v>
      </c>
      <c r="G35" s="45"/>
    </row>
    <row r="36" spans="2:7" ht="19.95" customHeight="1" x14ac:dyDescent="0.45">
      <c r="D36" s="36"/>
      <c r="E36" s="106" t="s">
        <v>1012</v>
      </c>
      <c r="F36" s="40"/>
      <c r="G36" s="39"/>
    </row>
    <row r="37" spans="2:7" ht="19.95" customHeight="1" x14ac:dyDescent="0.45">
      <c r="D37" s="36"/>
      <c r="E37" s="106" t="s">
        <v>1013</v>
      </c>
      <c r="F37" s="40"/>
      <c r="G37" s="39"/>
    </row>
    <row r="38" spans="2:7" ht="19.95" customHeight="1" x14ac:dyDescent="0.45">
      <c r="D38" s="36"/>
      <c r="E38" s="106" t="s">
        <v>1014</v>
      </c>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t="s">
        <v>1015</v>
      </c>
      <c r="F40" s="37" t="str" cm="1">
        <f t="array" aca="1" ref="F40" ca="1">HYPERLINK(INDIRECT(C40),D40)</f>
        <v>公共第1プロデュース部</v>
      </c>
      <c r="G40" s="45"/>
    </row>
    <row r="41" spans="2:7" ht="19.95" customHeight="1" x14ac:dyDescent="0.45">
      <c r="D41" s="36"/>
      <c r="E41" s="106" t="s">
        <v>1016</v>
      </c>
      <c r="F41" s="40"/>
      <c r="G41" s="39"/>
    </row>
    <row r="42" spans="2:7" ht="19.95" customHeight="1" x14ac:dyDescent="0.45">
      <c r="D42" s="36"/>
      <c r="E42" s="106" t="s">
        <v>1017</v>
      </c>
      <c r="F42" s="40"/>
      <c r="G42" s="39"/>
    </row>
    <row r="43" spans="2:7" ht="19.95" customHeight="1" x14ac:dyDescent="0.45">
      <c r="D43" s="36"/>
      <c r="E43" s="106" t="s">
        <v>1018</v>
      </c>
      <c r="F43" s="40"/>
      <c r="G43" s="39"/>
    </row>
    <row r="44" spans="2:7" ht="19.95" customHeight="1" x14ac:dyDescent="0.45">
      <c r="D44" s="41"/>
      <c r="E44" s="107" t="s">
        <v>1019</v>
      </c>
      <c r="F44" s="42"/>
      <c r="G44" s="43"/>
    </row>
    <row r="45" spans="2:7" ht="19.95" customHeight="1" x14ac:dyDescent="0.45">
      <c r="B45" s="23">
        <f>B40+1</f>
        <v>9</v>
      </c>
      <c r="C45" s="24" t="str">
        <f>"ﾘｽﾄ!C"&amp;B45+2</f>
        <v>ﾘｽﾄ!C11</v>
      </c>
      <c r="D45" s="44" t="str">
        <f>IFERROR(VLOOKUP($B45,ﾘｽﾄ!A:B,2,FALSE),"")</f>
        <v>公共第2プロデュース部</v>
      </c>
      <c r="E45" s="171" t="s">
        <v>1020</v>
      </c>
      <c r="F45" s="46" t="str" cm="1">
        <f t="array" aca="1" ref="F45" ca="1">HYPERLINK(INDIRECT(C45),D45)</f>
        <v>公共第2プロデュース部</v>
      </c>
      <c r="G45" s="45" t="s">
        <v>1021</v>
      </c>
    </row>
    <row r="46" spans="2:7" ht="19.95" customHeight="1" x14ac:dyDescent="0.45">
      <c r="D46" s="36"/>
      <c r="E46" s="172" t="s">
        <v>1022</v>
      </c>
      <c r="F46" s="40"/>
      <c r="G46" s="39" t="s">
        <v>1023</v>
      </c>
    </row>
    <row r="47" spans="2:7" ht="19.95" customHeight="1" x14ac:dyDescent="0.45">
      <c r="D47" s="36"/>
      <c r="E47" s="172" t="s">
        <v>1024</v>
      </c>
      <c r="F47" s="40"/>
      <c r="G47" s="39"/>
    </row>
    <row r="48" spans="2:7" ht="19.95" customHeight="1" x14ac:dyDescent="0.45">
      <c r="D48" s="36"/>
      <c r="E48" s="172" t="s">
        <v>1025</v>
      </c>
      <c r="F48" s="40"/>
      <c r="G48" s="39"/>
    </row>
    <row r="49" spans="2:7" ht="19.95" customHeight="1" x14ac:dyDescent="0.45">
      <c r="D49" s="41"/>
      <c r="E49" s="173" t="s">
        <v>1026</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1027</v>
      </c>
      <c r="F51" s="40"/>
      <c r="G51" s="39"/>
    </row>
    <row r="52" spans="2:7" ht="19.95" customHeight="1" x14ac:dyDescent="0.45">
      <c r="D52" s="36"/>
      <c r="E52" s="106" t="s">
        <v>1028</v>
      </c>
      <c r="F52" s="40"/>
      <c r="G52" s="39"/>
    </row>
    <row r="53" spans="2:7" ht="19.95" customHeight="1" x14ac:dyDescent="0.45">
      <c r="D53" s="36"/>
      <c r="E53" s="106" t="s">
        <v>718</v>
      </c>
      <c r="F53" s="40"/>
      <c r="G53" s="39"/>
    </row>
    <row r="54" spans="2:7" ht="19.95" customHeight="1" x14ac:dyDescent="0.45">
      <c r="D54" s="41"/>
      <c r="E54" s="107" t="s">
        <v>1029</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64" t="s">
        <v>1030</v>
      </c>
      <c r="F55" s="46" t="str" cm="1">
        <f t="array" aca="1" ref="F55" ca="1">HYPERLINK(INDIRECT(C55),D55)</f>
        <v>社会インフラサービス部</v>
      </c>
      <c r="G55" s="45"/>
    </row>
    <row r="56" spans="2:7" ht="19.95" customHeight="1" x14ac:dyDescent="0.45">
      <c r="D56" s="36"/>
      <c r="E56" s="163" t="s">
        <v>1031</v>
      </c>
      <c r="F56" s="40"/>
      <c r="G56" s="39"/>
    </row>
    <row r="57" spans="2:7" ht="19.95" customHeight="1" x14ac:dyDescent="0.45">
      <c r="D57" s="36"/>
      <c r="E57" s="163" t="s">
        <v>1032</v>
      </c>
      <c r="F57" s="40"/>
      <c r="G57" s="39"/>
    </row>
    <row r="58" spans="2:7" ht="19.95" customHeight="1" x14ac:dyDescent="0.45">
      <c r="D58" s="36"/>
      <c r="E58" s="163" t="s">
        <v>1033</v>
      </c>
      <c r="F58" s="40"/>
      <c r="G58" s="39"/>
    </row>
    <row r="59" spans="2:7" ht="19.95" customHeight="1" x14ac:dyDescent="0.45">
      <c r="D59" s="36"/>
      <c r="E59" s="163" t="s">
        <v>1034</v>
      </c>
      <c r="F59" s="40"/>
      <c r="G59" s="39"/>
    </row>
    <row r="60" spans="2:7" ht="19.95" customHeight="1" x14ac:dyDescent="0.45">
      <c r="D60" s="41"/>
      <c r="E60" s="165" t="s">
        <v>1035</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1036</v>
      </c>
      <c r="F66" s="46" t="str" cm="1">
        <f t="array" aca="1" ref="F66" ca="1">HYPERLINK(INDIRECT(C66),D66)</f>
        <v>ITサービスマネジメント部</v>
      </c>
      <c r="G66" s="45"/>
    </row>
    <row r="67" spans="2:7" ht="19.95" customHeight="1" x14ac:dyDescent="0.45">
      <c r="D67" s="36"/>
      <c r="E67" s="140" t="s">
        <v>1037</v>
      </c>
      <c r="F67" s="40"/>
      <c r="G67" s="39"/>
    </row>
    <row r="68" spans="2:7" ht="19.95" customHeight="1" x14ac:dyDescent="0.45">
      <c r="D68" s="36"/>
      <c r="E68" s="143" t="s">
        <v>1038</v>
      </c>
      <c r="F68" s="40"/>
      <c r="G68" s="39"/>
    </row>
    <row r="69" spans="2:7" ht="19.95" customHeight="1" x14ac:dyDescent="0.45">
      <c r="D69" s="36"/>
      <c r="E69" s="140" t="s">
        <v>1039</v>
      </c>
      <c r="F69" s="40"/>
      <c r="G69" s="39"/>
    </row>
    <row r="70" spans="2:7" ht="19.95" customHeight="1" x14ac:dyDescent="0.45">
      <c r="D70" s="41"/>
      <c r="E70" s="204" t="s">
        <v>1040</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1041</v>
      </c>
      <c r="F71" s="46" t="str" cm="1">
        <f t="array" aca="1" ref="F71" ca="1">HYPERLINK(INDIRECT(C71),D71)</f>
        <v>標準化・ガバメントクラウド推進部</v>
      </c>
      <c r="G71" s="45"/>
    </row>
    <row r="72" spans="2:7" ht="19.95" customHeight="1" x14ac:dyDescent="0.45">
      <c r="D72" s="36"/>
      <c r="E72" s="106" t="s">
        <v>1042</v>
      </c>
      <c r="F72" s="40"/>
      <c r="G72" s="39"/>
    </row>
    <row r="73" spans="2:7" ht="19.95" customHeight="1" x14ac:dyDescent="0.45">
      <c r="D73" s="36"/>
      <c r="E73" s="106" t="s">
        <v>1043</v>
      </c>
      <c r="F73" s="40"/>
      <c r="G73" s="39"/>
    </row>
    <row r="74" spans="2:7" ht="19.95" customHeight="1" x14ac:dyDescent="0.45">
      <c r="D74" s="36"/>
      <c r="E74" s="106" t="s">
        <v>1044</v>
      </c>
      <c r="F74" s="40"/>
      <c r="G74" s="39"/>
    </row>
    <row r="75" spans="2:7" ht="19.95" customHeight="1" x14ac:dyDescent="0.45">
      <c r="D75" s="41"/>
      <c r="E75" s="107" t="s">
        <v>1045</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06" t="s">
        <v>1046</v>
      </c>
      <c r="F77" s="40"/>
      <c r="G77" s="39"/>
    </row>
    <row r="78" spans="2:7" ht="19.95" customHeight="1" x14ac:dyDescent="0.45">
      <c r="D78" s="36"/>
      <c r="E78" s="106" t="s">
        <v>1047</v>
      </c>
      <c r="F78" s="40"/>
      <c r="G78" s="39"/>
    </row>
    <row r="79" spans="2:7" ht="19.95" customHeight="1" x14ac:dyDescent="0.45">
      <c r="D79" s="36"/>
      <c r="E79" s="106" t="s">
        <v>102</v>
      </c>
      <c r="F79" s="40"/>
      <c r="G79" s="39"/>
    </row>
    <row r="80" spans="2:7" ht="19.95" customHeight="1" x14ac:dyDescent="0.45">
      <c r="D80" s="41"/>
      <c r="E80" s="107" t="s">
        <v>1048</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54" t="s">
        <v>1049</v>
      </c>
      <c r="F81" s="46" t="str" cm="1">
        <f t="array" aca="1" ref="F81" ca="1">HYPERLINK(INDIRECT(C81),D81)</f>
        <v>DXビジネスプロデュース部</v>
      </c>
      <c r="G81" s="45"/>
    </row>
    <row r="82" spans="2:7" ht="19.95" customHeight="1" x14ac:dyDescent="0.45">
      <c r="D82" s="36"/>
      <c r="E82" s="106" t="s">
        <v>1050</v>
      </c>
      <c r="F82" s="40"/>
      <c r="G82" s="39"/>
    </row>
    <row r="83" spans="2:7" ht="19.95" customHeight="1" x14ac:dyDescent="0.45">
      <c r="D83" s="36"/>
      <c r="E83" s="106" t="s">
        <v>1051</v>
      </c>
      <c r="F83" s="40"/>
      <c r="G83" s="39"/>
    </row>
    <row r="84" spans="2:7" ht="19.95" customHeight="1" x14ac:dyDescent="0.45">
      <c r="D84" s="36"/>
      <c r="E84" s="106" t="s">
        <v>1052</v>
      </c>
      <c r="F84" s="40"/>
      <c r="G84" s="39"/>
    </row>
    <row r="85" spans="2:7" ht="19.95" customHeight="1" x14ac:dyDescent="0.45">
      <c r="D85" s="41"/>
      <c r="E85" s="154" t="s">
        <v>1053</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108" t="s">
        <v>1054</v>
      </c>
      <c r="F86" s="46" t="str" cm="1">
        <f t="array" aca="1" ref="F86" ca="1">HYPERLINK(INDIRECT(C86),D86)</f>
        <v>九州ビジネスプロデュース部</v>
      </c>
      <c r="G86" s="45"/>
    </row>
    <row r="87" spans="2:7" ht="19.95" customHeight="1" x14ac:dyDescent="0.45">
      <c r="D87" s="36"/>
      <c r="E87" s="106" t="s">
        <v>1055</v>
      </c>
      <c r="F87" s="40"/>
      <c r="G87" s="39"/>
    </row>
    <row r="88" spans="2:7" ht="19.95" customHeight="1" x14ac:dyDescent="0.45">
      <c r="D88" s="36"/>
      <c r="E88" s="106" t="s">
        <v>1056</v>
      </c>
      <c r="F88" s="40"/>
      <c r="G88" s="39"/>
    </row>
    <row r="89" spans="2:7" ht="19.95" customHeight="1" x14ac:dyDescent="0.45">
      <c r="D89" s="36"/>
      <c r="E89" s="106" t="s">
        <v>1057</v>
      </c>
      <c r="F89" s="40"/>
      <c r="G89" s="39"/>
    </row>
    <row r="90" spans="2:7" ht="19.95" customHeight="1" x14ac:dyDescent="0.45">
      <c r="D90" s="41"/>
      <c r="E90" s="107" t="s">
        <v>1058</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901</v>
      </c>
      <c r="F91" s="46" t="str" cm="1">
        <f t="array" aca="1" ref="F91" ca="1">HYPERLINK(INDIRECT(C91),D91)</f>
        <v>DXビジネスソリューション部</v>
      </c>
      <c r="G91" s="45"/>
    </row>
    <row r="92" spans="2:7" ht="19.95" customHeight="1" x14ac:dyDescent="0.45">
      <c r="D92" s="36"/>
      <c r="E92" s="106" t="s">
        <v>1059</v>
      </c>
      <c r="F92" s="40"/>
      <c r="G92" s="39"/>
    </row>
    <row r="93" spans="2:7" ht="19.95" customHeight="1" x14ac:dyDescent="0.45">
      <c r="D93" s="36"/>
      <c r="E93" s="106" t="s">
        <v>751</v>
      </c>
      <c r="F93" s="40"/>
      <c r="G93" s="39"/>
    </row>
    <row r="94" spans="2:7" ht="19.95" customHeight="1" x14ac:dyDescent="0.45">
      <c r="D94" s="36"/>
      <c r="E94" s="106" t="s">
        <v>1060</v>
      </c>
      <c r="F94" s="40"/>
      <c r="G94" s="39"/>
    </row>
    <row r="95" spans="2:7" ht="19.95" customHeight="1" x14ac:dyDescent="0.45">
      <c r="D95" s="41"/>
      <c r="E95" s="107" t="s">
        <v>1061</v>
      </c>
      <c r="F95" s="42"/>
      <c r="G95" s="43"/>
    </row>
    <row r="96" spans="2:7" ht="19.95" customHeight="1" x14ac:dyDescent="0.45">
      <c r="B96" s="23">
        <f t="shared" ref="B96" si="9">B91+1</f>
        <v>19</v>
      </c>
      <c r="C96" s="24" t="str">
        <f>"ﾘｽﾄ!C"&amp;B96+2</f>
        <v>ﾘｽﾄ!C21</v>
      </c>
      <c r="D96" s="44" t="str">
        <f>IFERROR(VLOOKUP($B96,ﾘｽﾄ!A:B,2,FALSE),"")</f>
        <v>システムサービス部</v>
      </c>
      <c r="E96" s="202" t="s">
        <v>1062</v>
      </c>
      <c r="F96" s="46" t="str" cm="1">
        <f t="array" aca="1" ref="F96" ca="1">HYPERLINK(INDIRECT(C96),D96)</f>
        <v>システムサービス部</v>
      </c>
      <c r="G96" s="45"/>
    </row>
    <row r="97" spans="2:7" ht="19.95" customHeight="1" x14ac:dyDescent="0.45">
      <c r="D97" s="36"/>
      <c r="E97" s="159" t="s">
        <v>1063</v>
      </c>
      <c r="F97" s="40"/>
      <c r="G97" s="39"/>
    </row>
    <row r="98" spans="2:7" ht="19.95" customHeight="1" x14ac:dyDescent="0.45">
      <c r="D98" s="36"/>
      <c r="E98" s="106" t="s">
        <v>1064</v>
      </c>
      <c r="F98" s="40"/>
      <c r="G98" s="39"/>
    </row>
    <row r="99" spans="2:7" ht="19.95" customHeight="1" x14ac:dyDescent="0.45">
      <c r="D99" s="36"/>
      <c r="E99" s="106" t="s">
        <v>1065</v>
      </c>
      <c r="F99" s="40"/>
      <c r="G99" s="39"/>
    </row>
    <row r="100" spans="2:7" ht="19.95" customHeight="1" x14ac:dyDescent="0.45">
      <c r="D100" s="41"/>
      <c r="E100" s="154" t="s">
        <v>1066</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1067</v>
      </c>
      <c r="F101" s="46" t="str" cm="1">
        <f t="array" aca="1" ref="F101" ca="1">HYPERLINK(INDIRECT(C101),D101)</f>
        <v>DX・海外連携推進室</v>
      </c>
      <c r="G101" s="45"/>
    </row>
    <row r="102" spans="2:7" ht="19.95" customHeight="1" x14ac:dyDescent="0.45">
      <c r="D102" s="36"/>
      <c r="E102" s="106" t="s">
        <v>1068</v>
      </c>
      <c r="F102" s="40"/>
      <c r="G102" s="39"/>
    </row>
    <row r="103" spans="2:7" ht="19.95" customHeight="1" x14ac:dyDescent="0.45">
      <c r="D103" s="36"/>
      <c r="E103" s="106" t="s">
        <v>1069</v>
      </c>
      <c r="F103" s="40"/>
      <c r="G103" s="39"/>
    </row>
    <row r="104" spans="2:7" ht="19.95" customHeight="1" x14ac:dyDescent="0.45">
      <c r="D104" s="36"/>
      <c r="E104" s="106" t="s">
        <v>762</v>
      </c>
      <c r="F104" s="40"/>
      <c r="G104" s="39"/>
    </row>
    <row r="105" spans="2:7" ht="19.95" customHeight="1" x14ac:dyDescent="0.45">
      <c r="D105" s="41"/>
      <c r="E105" s="107" t="s">
        <v>616</v>
      </c>
      <c r="F105" s="42"/>
      <c r="G105" s="43"/>
    </row>
    <row r="106" spans="2:7" ht="19.95" customHeight="1" x14ac:dyDescent="0.45">
      <c r="B106" s="23">
        <f t="shared" ref="B106" si="11">B101+1</f>
        <v>21</v>
      </c>
      <c r="C106" s="24" t="str">
        <f>"ﾘｽﾄ!C"&amp;B106+2</f>
        <v>ﾘｽﾄ!C23</v>
      </c>
      <c r="D106" s="44" t="str">
        <f>IFERROR(VLOOKUP($B106,ﾘｽﾄ!A:B,2,FALSE),"")</f>
        <v>DX推進部</v>
      </c>
      <c r="E106" s="108" t="s">
        <v>1070</v>
      </c>
      <c r="F106" s="46" t="str" cm="1">
        <f t="array" aca="1" ref="F106" ca="1">HYPERLINK(INDIRECT(C106),D106)</f>
        <v>DX推進部</v>
      </c>
      <c r="G106" s="145" t="s">
        <v>1071</v>
      </c>
    </row>
    <row r="107" spans="2:7" ht="19.95" customHeight="1" x14ac:dyDescent="0.45">
      <c r="D107" s="36"/>
      <c r="E107" s="106" t="s">
        <v>1072</v>
      </c>
      <c r="F107" s="40"/>
      <c r="G107" s="39"/>
    </row>
    <row r="108" spans="2:7" ht="19.95" customHeight="1" x14ac:dyDescent="0.45">
      <c r="D108" s="36"/>
      <c r="E108" s="106" t="s">
        <v>1073</v>
      </c>
      <c r="F108" s="40"/>
      <c r="G108" s="39"/>
    </row>
    <row r="109" spans="2:7" ht="19.95" customHeight="1" x14ac:dyDescent="0.45">
      <c r="D109" s="36"/>
      <c r="E109" s="106" t="s">
        <v>1074</v>
      </c>
      <c r="F109" s="40"/>
      <c r="G109" s="39"/>
    </row>
    <row r="110" spans="2:7" ht="19.95" customHeight="1" x14ac:dyDescent="0.45">
      <c r="D110" s="41"/>
      <c r="E110" s="107" t="s">
        <v>1075</v>
      </c>
      <c r="F110" s="42"/>
      <c r="G110" s="170" t="s">
        <v>1076</v>
      </c>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1077</v>
      </c>
      <c r="F116" s="46" t="str" cm="1">
        <f t="array" aca="1" ref="F116" ca="1">HYPERLINK(INDIRECT(C116),D116)</f>
        <v>ビジネスプロデュース部</v>
      </c>
      <c r="G116" s="45"/>
    </row>
    <row r="117" spans="2:7" ht="19.95" customHeight="1" x14ac:dyDescent="0.45">
      <c r="D117" s="36"/>
      <c r="E117" s="106" t="s">
        <v>1078</v>
      </c>
      <c r="F117" s="40"/>
      <c r="G117" s="39"/>
    </row>
    <row r="118" spans="2:7" ht="19.95" customHeight="1" x14ac:dyDescent="0.45">
      <c r="D118" s="36"/>
      <c r="E118" s="106" t="s">
        <v>1079</v>
      </c>
      <c r="F118" s="40"/>
      <c r="G118" s="39"/>
    </row>
    <row r="119" spans="2:7" ht="19.95" customHeight="1" x14ac:dyDescent="0.45">
      <c r="D119" s="36"/>
      <c r="E119" s="106" t="s">
        <v>1080</v>
      </c>
      <c r="F119" s="40"/>
      <c r="G119" s="39"/>
    </row>
    <row r="120" spans="2:7" ht="19.95" customHeight="1" x14ac:dyDescent="0.45">
      <c r="D120" s="36"/>
      <c r="E120" s="106" t="s">
        <v>1081</v>
      </c>
      <c r="F120" s="40"/>
      <c r="G120" s="39"/>
    </row>
    <row r="121" spans="2:7" ht="19.95" customHeight="1" x14ac:dyDescent="0.45">
      <c r="D121" s="41"/>
      <c r="E121" s="107" t="s">
        <v>1082</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1083</v>
      </c>
      <c r="F122" s="46" t="str" cm="1">
        <f t="array" aca="1" ref="F122" ca="1">HYPERLINK(INDIRECT(C122),D122)</f>
        <v>インフラビジネス推進部</v>
      </c>
      <c r="G122" s="45"/>
    </row>
    <row r="123" spans="2:7" ht="19.95" customHeight="1" x14ac:dyDescent="0.45">
      <c r="D123" s="36"/>
      <c r="E123" s="106" t="s">
        <v>925</v>
      </c>
      <c r="F123" s="40"/>
      <c r="G123" s="39"/>
    </row>
    <row r="124" spans="2:7" ht="19.95" customHeight="1" x14ac:dyDescent="0.45">
      <c r="D124" s="36"/>
      <c r="E124" s="174" t="s">
        <v>1084</v>
      </c>
      <c r="F124" s="40"/>
      <c r="G124" s="39"/>
    </row>
    <row r="125" spans="2:7" ht="19.95" customHeight="1" x14ac:dyDescent="0.45">
      <c r="D125" s="36"/>
      <c r="E125" s="174" t="s">
        <v>1085</v>
      </c>
      <c r="F125" s="40"/>
      <c r="G125" s="39" t="s">
        <v>148</v>
      </c>
    </row>
    <row r="126" spans="2:7" ht="19.95" customHeight="1" x14ac:dyDescent="0.45">
      <c r="D126" s="41"/>
      <c r="E126" s="107" t="s">
        <v>1086</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1087</v>
      </c>
      <c r="F132" s="46" t="str" cm="1">
        <f t="array" aca="1" ref="F132" ca="1">HYPERLINK(INDIRECT(C132),D132)</f>
        <v>西日本支社</v>
      </c>
      <c r="G132" s="45"/>
    </row>
    <row r="133" spans="2:7" ht="19.95" customHeight="1" x14ac:dyDescent="0.45">
      <c r="D133" s="36"/>
      <c r="E133" s="106" t="s">
        <v>1088</v>
      </c>
      <c r="F133" s="40"/>
      <c r="G133" s="39"/>
    </row>
    <row r="134" spans="2:7" ht="19.95" customHeight="1" x14ac:dyDescent="0.45">
      <c r="D134" s="36"/>
      <c r="E134" s="154" t="s">
        <v>1089</v>
      </c>
      <c r="F134" s="40"/>
      <c r="G134" s="39"/>
    </row>
    <row r="135" spans="2:7" ht="19.95" customHeight="1" x14ac:dyDescent="0.45">
      <c r="D135" s="36"/>
      <c r="E135" s="106" t="s">
        <v>1090</v>
      </c>
      <c r="F135" s="40"/>
      <c r="G135" s="39"/>
    </row>
    <row r="136" spans="2:7" ht="19.95" customHeight="1" x14ac:dyDescent="0.45">
      <c r="D136" s="41"/>
      <c r="E136" s="107" t="s">
        <v>635</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1091</v>
      </c>
      <c r="F137" s="46" t="str" cm="1">
        <f t="array" aca="1" ref="F137" ca="1">HYPERLINK(INDIRECT(C137),D137)</f>
        <v>福岡支社</v>
      </c>
      <c r="G137" s="45"/>
    </row>
    <row r="138" spans="2:7" ht="19.95" customHeight="1" x14ac:dyDescent="0.45">
      <c r="D138" s="36"/>
      <c r="E138" s="212" t="s">
        <v>1092</v>
      </c>
      <c r="F138" s="150"/>
      <c r="G138" s="39"/>
    </row>
    <row r="139" spans="2:7" ht="19.95" customHeight="1" x14ac:dyDescent="0.45">
      <c r="D139" s="36"/>
      <c r="E139" s="149" t="s">
        <v>1093</v>
      </c>
      <c r="F139" s="40"/>
      <c r="G139" s="39"/>
    </row>
    <row r="140" spans="2:7" ht="19.95" customHeight="1" x14ac:dyDescent="0.45">
      <c r="D140" s="36"/>
      <c r="E140" s="149" t="s">
        <v>1094</v>
      </c>
      <c r="F140" s="40"/>
      <c r="G140" s="39"/>
    </row>
    <row r="141" spans="2:7" ht="19.95" customHeight="1" x14ac:dyDescent="0.45">
      <c r="D141" s="41"/>
      <c r="E141" s="149" t="s">
        <v>1095</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08" t="s">
        <v>1096</v>
      </c>
      <c r="F142" s="46" t="str" cm="1">
        <f t="array" aca="1" ref="F142" ca="1">HYPERLINK(INDIRECT(C142),D142)</f>
        <v>公共ソリューション部</v>
      </c>
      <c r="G142" s="45"/>
    </row>
    <row r="143" spans="2:7" ht="19.95" customHeight="1" x14ac:dyDescent="0.45">
      <c r="D143" s="36"/>
      <c r="E143" s="106" t="s">
        <v>1097</v>
      </c>
      <c r="F143" s="40"/>
      <c r="G143" s="39"/>
    </row>
    <row r="144" spans="2:7" ht="19.95" customHeight="1" x14ac:dyDescent="0.45">
      <c r="D144" s="36"/>
      <c r="E144" s="106" t="s">
        <v>1098</v>
      </c>
      <c r="F144" s="40"/>
      <c r="G144" s="39"/>
    </row>
    <row r="145" spans="2:7" ht="19.95" customHeight="1" x14ac:dyDescent="0.45">
      <c r="D145" s="36"/>
      <c r="E145" s="106"/>
      <c r="F145" s="40"/>
      <c r="G145" s="39"/>
    </row>
    <row r="146" spans="2:7" ht="19.95" customHeight="1" x14ac:dyDescent="0.45">
      <c r="D146" s="41"/>
      <c r="E146" s="107"/>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42" t="s">
        <v>1099</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1100</v>
      </c>
      <c r="F149" s="40"/>
      <c r="G149" s="39"/>
    </row>
    <row r="150" spans="2:7" ht="19.95" customHeight="1" x14ac:dyDescent="0.45">
      <c r="D150" s="36"/>
      <c r="E150" s="140" t="s">
        <v>1101</v>
      </c>
      <c r="F150" s="40"/>
      <c r="G150" s="39"/>
    </row>
    <row r="151" spans="2:7" ht="19.95" customHeight="1" x14ac:dyDescent="0.45">
      <c r="D151" s="36"/>
      <c r="E151" s="106" t="s">
        <v>1102</v>
      </c>
      <c r="F151" s="40"/>
      <c r="G151" s="39"/>
    </row>
    <row r="152" spans="2:7" ht="19.95" customHeight="1" x14ac:dyDescent="0.45">
      <c r="D152" s="41"/>
      <c r="E152" s="107" t="s">
        <v>1103</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945</v>
      </c>
      <c r="F153" s="46" t="str" cm="1">
        <f t="array" aca="1" ref="F153" ca="1">HYPERLINK(INDIRECT(C153),D153)</f>
        <v>公共ソリューション開発センター</v>
      </c>
      <c r="G153" s="45"/>
    </row>
    <row r="154" spans="2:7" ht="19.95" customHeight="1" x14ac:dyDescent="0.45">
      <c r="D154" s="36"/>
      <c r="E154" s="106" t="s">
        <v>499</v>
      </c>
      <c r="F154" s="40"/>
      <c r="G154" s="39"/>
    </row>
    <row r="155" spans="2:7" ht="19.95" customHeight="1" x14ac:dyDescent="0.45">
      <c r="D155" s="36"/>
      <c r="E155" s="106" t="s">
        <v>1104</v>
      </c>
      <c r="F155" s="40"/>
      <c r="G155" s="39"/>
    </row>
    <row r="156" spans="2:7" ht="19.95" customHeight="1" x14ac:dyDescent="0.45">
      <c r="D156" s="36"/>
      <c r="E156" s="25" t="s">
        <v>1105</v>
      </c>
      <c r="F156" s="40"/>
      <c r="G156" s="39"/>
    </row>
    <row r="157" spans="2:7" ht="19.95" customHeight="1" x14ac:dyDescent="0.45">
      <c r="D157" s="41"/>
      <c r="E157" s="107" t="s">
        <v>948</v>
      </c>
      <c r="F157" s="42"/>
      <c r="G157" s="43"/>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t="s">
        <v>1106</v>
      </c>
      <c r="F158" s="46" t="str" cm="1">
        <f t="array" aca="1" ref="F158" ca="1">HYPERLINK(INDIRECT(C158),D158)</f>
        <v>システムプロデュース事業部</v>
      </c>
      <c r="G158" s="45"/>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1107</v>
      </c>
      <c r="F163" s="46" t="str" cm="1">
        <f t="array" aca="1" ref="F163" ca="1">HYPERLINK(INDIRECT(C163),D163)</f>
        <v>デジタルイノベーション推進部</v>
      </c>
      <c r="G163" s="45"/>
    </row>
    <row r="164" spans="2:7" ht="19.95" customHeight="1" x14ac:dyDescent="0.45">
      <c r="D164" s="36"/>
      <c r="E164" s="106" t="s">
        <v>1108</v>
      </c>
      <c r="F164" s="40"/>
      <c r="G164" s="39"/>
    </row>
    <row r="165" spans="2:7" ht="19.95" customHeight="1" x14ac:dyDescent="0.45">
      <c r="D165" s="36"/>
      <c r="E165" s="106" t="s">
        <v>179</v>
      </c>
      <c r="F165" s="40"/>
      <c r="G165" s="39"/>
    </row>
    <row r="166" spans="2:7" ht="19.95" customHeight="1" x14ac:dyDescent="0.45">
      <c r="D166" s="36"/>
      <c r="E166" s="106" t="s">
        <v>653</v>
      </c>
      <c r="F166" s="40"/>
      <c r="G166" s="39"/>
    </row>
    <row r="167" spans="2:7" ht="19.95" customHeight="1" x14ac:dyDescent="0.45">
      <c r="D167" s="41"/>
      <c r="E167" s="107" t="s">
        <v>654</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805</v>
      </c>
      <c r="F168" s="46" t="str" cm="1">
        <f t="array" aca="1" ref="F168" ca="1">HYPERLINK(INDIRECT(C168),D168)</f>
        <v>施設予約サービス部</v>
      </c>
      <c r="G168" s="45"/>
    </row>
    <row r="169" spans="2:7" ht="19.95" customHeight="1" x14ac:dyDescent="0.45">
      <c r="D169" s="36"/>
      <c r="E169" s="106" t="s">
        <v>1109</v>
      </c>
      <c r="F169" s="40"/>
      <c r="G169" s="39"/>
    </row>
    <row r="170" spans="2:7" ht="19.95" customHeight="1" x14ac:dyDescent="0.45">
      <c r="D170" s="36"/>
      <c r="E170" s="106" t="s">
        <v>1110</v>
      </c>
      <c r="F170" s="40"/>
      <c r="G170" s="39"/>
    </row>
    <row r="171" spans="2:7" ht="19.95" customHeight="1" x14ac:dyDescent="0.45">
      <c r="D171" s="36"/>
      <c r="E171" s="106" t="s">
        <v>1111</v>
      </c>
      <c r="F171" s="40"/>
      <c r="G171" s="39"/>
    </row>
    <row r="172" spans="2:7" ht="19.95" customHeight="1" x14ac:dyDescent="0.45">
      <c r="D172" s="41"/>
      <c r="E172" s="107" t="s">
        <v>1112</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810</v>
      </c>
      <c r="F173" s="46" t="str" cm="1">
        <f t="array" aca="1" ref="F173" ca="1">HYPERLINK(INDIRECT(C173),D173)</f>
        <v>ソリューションサービス部</v>
      </c>
      <c r="G173" s="45"/>
    </row>
    <row r="174" spans="2:7" ht="19.95" customHeight="1" x14ac:dyDescent="0.45">
      <c r="D174" s="36"/>
      <c r="E174" s="106" t="s">
        <v>812</v>
      </c>
      <c r="F174" s="40"/>
      <c r="G174" s="39"/>
    </row>
    <row r="175" spans="2:7" ht="19.95" customHeight="1" x14ac:dyDescent="0.45">
      <c r="D175" s="36"/>
      <c r="E175" s="106" t="s">
        <v>355</v>
      </c>
      <c r="F175" s="40"/>
      <c r="G175" s="39" t="s">
        <v>1113</v>
      </c>
    </row>
    <row r="176" spans="2:7" ht="19.95" customHeight="1" x14ac:dyDescent="0.45">
      <c r="D176" s="36"/>
      <c r="E176" s="106" t="s">
        <v>1114</v>
      </c>
      <c r="F176" s="40"/>
      <c r="G176" s="39" t="s">
        <v>1115</v>
      </c>
    </row>
    <row r="177" spans="2:7" ht="19.95" customHeight="1" x14ac:dyDescent="0.45">
      <c r="D177" s="41"/>
      <c r="E177" s="165" t="s">
        <v>1116</v>
      </c>
      <c r="F177" s="42"/>
      <c r="G177" s="43" t="s">
        <v>1117</v>
      </c>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817</v>
      </c>
      <c r="F183" s="46" t="str" cm="1">
        <f t="array" aca="1" ref="F183" ca="1">HYPERLINK(INDIRECT(C183),D183)</f>
        <v>東京本社マネジメント推進部</v>
      </c>
      <c r="G183" s="45"/>
    </row>
    <row r="184" spans="2:7" ht="19.95" customHeight="1" x14ac:dyDescent="0.45">
      <c r="D184" s="36"/>
      <c r="E184" s="154" t="s">
        <v>1118</v>
      </c>
      <c r="F184" s="40"/>
      <c r="G184" s="39"/>
    </row>
    <row r="185" spans="2:7" ht="19.95" customHeight="1" x14ac:dyDescent="0.45">
      <c r="D185" s="36"/>
      <c r="E185" s="154" t="s">
        <v>963</v>
      </c>
      <c r="F185" s="40"/>
      <c r="G185" s="39"/>
    </row>
    <row r="186" spans="2:7" ht="19.95" customHeight="1" x14ac:dyDescent="0.45">
      <c r="D186" s="36"/>
      <c r="E186" s="154" t="s">
        <v>1119</v>
      </c>
      <c r="F186" s="40"/>
      <c r="G186" s="39"/>
    </row>
    <row r="187" spans="2:7" ht="19.95" customHeight="1" x14ac:dyDescent="0.45">
      <c r="D187" s="41"/>
      <c r="E187" s="154" t="s">
        <v>1120</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F191" s="40"/>
      <c r="G191" s="39"/>
    </row>
    <row r="192" spans="2:7" ht="19.95" customHeight="1" x14ac:dyDescent="0.45">
      <c r="D192" s="47"/>
      <c r="E192" s="106"/>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t="s">
        <v>1121</v>
      </c>
      <c r="F193" s="46" t="str" cm="1">
        <f t="array" aca="1" ref="F193" ca="1">HYPERLINK(INDIRECT(C193),D193)</f>
        <v>中島常務執行役員</v>
      </c>
      <c r="G193" s="45"/>
    </row>
    <row r="194" spans="2:7" ht="19.95" customHeight="1" x14ac:dyDescent="0.45">
      <c r="D194" s="36"/>
      <c r="E194" s="106" t="s">
        <v>1122</v>
      </c>
      <c r="F194" s="40"/>
      <c r="G194" s="39"/>
    </row>
    <row r="195" spans="2:7" ht="19.95" customHeight="1" x14ac:dyDescent="0.45">
      <c r="D195" s="36"/>
      <c r="E195" s="106" t="s">
        <v>1123</v>
      </c>
      <c r="F195" s="40"/>
      <c r="G195" s="39"/>
    </row>
    <row r="196" spans="2:7" ht="19.95" customHeight="1" x14ac:dyDescent="0.45">
      <c r="D196" s="36"/>
      <c r="E196" s="106" t="s">
        <v>1124</v>
      </c>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t="s">
        <v>1125</v>
      </c>
      <c r="F198" s="46" t="str" cm="1">
        <f t="array" aca="1" ref="F198" ca="1">HYPERLINK(INDIRECT(C198),D198)</f>
        <v>河野取締役</v>
      </c>
      <c r="G198" s="45"/>
    </row>
    <row r="199" spans="2:7" ht="19.95" customHeight="1" x14ac:dyDescent="0.45">
      <c r="D199" s="36"/>
      <c r="E199" s="106" t="s">
        <v>1126</v>
      </c>
      <c r="F199" s="40"/>
      <c r="G199" s="39"/>
    </row>
    <row r="200" spans="2:7" ht="19.95" customHeight="1" x14ac:dyDescent="0.45">
      <c r="D200" s="36"/>
      <c r="E200" s="106"/>
      <c r="F200" s="40"/>
      <c r="G200" s="39"/>
    </row>
    <row r="201" spans="2:7" ht="19.95" customHeight="1" x14ac:dyDescent="0.45">
      <c r="D201" s="36"/>
      <c r="E201" s="106"/>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c r="F213" s="46" t="str" cm="1">
        <f t="array" aca="1" ref="F213" ca="1">HYPERLINK(INDIRECT(C213),D213)</f>
        <v>加藤社長</v>
      </c>
      <c r="G213" s="45"/>
    </row>
    <row r="214" spans="2:7" ht="19.95" customHeight="1" x14ac:dyDescent="0.45">
      <c r="D214" s="36"/>
      <c r="E214" s="106"/>
      <c r="F214" s="40"/>
      <c r="G214" s="39"/>
    </row>
    <row r="215" spans="2:7" ht="19.95" customHeight="1" x14ac:dyDescent="0.45">
      <c r="D215" s="36"/>
      <c r="E215" s="106"/>
      <c r="F215" s="40"/>
      <c r="G215" s="39"/>
    </row>
    <row r="216" spans="2:7" ht="19.95" customHeight="1" x14ac:dyDescent="0.45">
      <c r="D216" s="36"/>
      <c r="E216" s="106"/>
      <c r="F216" s="40"/>
      <c r="G216" s="39"/>
    </row>
    <row r="217" spans="2:7" ht="19.95" customHeight="1" thickBot="1" x14ac:dyDescent="0.5">
      <c r="D217" s="48"/>
      <c r="E217" s="109"/>
      <c r="F217" s="49"/>
      <c r="G217" s="50"/>
    </row>
    <row r="218" spans="2:7" x14ac:dyDescent="0.45">
      <c r="D218" s="111"/>
      <c r="E218" s="112"/>
      <c r="F218" s="113"/>
      <c r="G218" s="112"/>
    </row>
  </sheetData>
  <sheetProtection algorithmName="SHA-512" hashValue="iISx+tekKOqcy/bLXW1n0wGX+AlyioMDSDH5uBoYlWDo1Lx4JFsJblFZZZVUD4bQpav4TbR0NUjK3APsCcgRXg==" saltValue="7bfXYjEB1wE4pt3WmMO9+w==" spinCount="100000" sheet="1" objects="1" scenarios="1"/>
  <phoneticPr fontId="1"/>
  <hyperlinks>
    <hyperlink ref="F1" location="ﾘｽﾄ!A1" display="格納先一覧はこちら" xr:uid="{6AE9D9B1-CF70-45BC-8C19-BEA6821D5B08}"/>
    <hyperlink ref="G26" r:id="rId1" xr:uid="{A98154EA-6408-4ED8-AF5F-1C39E5D282D1}"/>
    <hyperlink ref="G25" r:id="rId2" xr:uid="{E5A30E43-BB0F-472F-9773-59C73BCE7EBB}"/>
    <hyperlink ref="G106" r:id="rId3" xr:uid="{3B70F988-1D9E-44BD-A856-ED875D2F7F58}"/>
    <hyperlink ref="G110" r:id="rId4" xr:uid="{BF128694-2908-49CC-9C58-216251F72951}"/>
    <hyperlink ref="G30" r:id="rId5" xr:uid="{58D9BFEE-E8C6-4BB7-98EB-70F76DC0D2F9}"/>
    <hyperlink ref="G20" r:id="rId6" display="CI（コーポレート・アイデンティティー）公開情報の振り返り (cybozu.com)" xr:uid="{991F2BCA-1143-4879-86C1-5E1A2CAD8A92}"/>
    <hyperlink ref="G21" r:id="rId7" xr:uid="{1AEAACDB-09B7-44CA-A781-ED7DDF9B335A}"/>
  </hyperlinks>
  <printOptions horizontalCentered="1"/>
  <pageMargins left="0" right="0" top="0" bottom="0" header="0.31496062992125984" footer="0.31496062992125984"/>
  <pageSetup paperSize="8" scale="72" fitToHeight="3" orientation="portrait" horizontalDpi="1200" verticalDpi="1200" r:id="rId8"/>
  <rowBreaks count="2" manualBreakCount="2">
    <brk id="80" min="3" max="6" man="1"/>
    <brk id="146" min="3"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9332D-0C2B-4BE4-AD15-DAEDA5714045}">
  <sheetPr codeName="Sheet10">
    <tabColor rgb="FFFFFF00"/>
  </sheetPr>
  <dimension ref="A1:G218"/>
  <sheetViews>
    <sheetView showGridLines="0" showRowColHeaders="0" zoomScale="80" zoomScaleNormal="80" workbookViewId="0">
      <pane ySplit="4" topLeftCell="A208" activePane="bottomLeft" state="frozen"/>
      <selection activeCell="D1" sqref="D1"/>
      <selection pane="bottomLeft" activeCell="E219" sqref="E219"/>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8</v>
      </c>
      <c r="E1" s="30" t="s">
        <v>7</v>
      </c>
      <c r="F1" s="51" t="s">
        <v>8</v>
      </c>
      <c r="G1" s="52" t="s">
        <v>9</v>
      </c>
    </row>
    <row r="2" spans="1:7" x14ac:dyDescent="0.45">
      <c r="A2" s="26" cm="1">
        <f t="array" aca="1" ref="A2" ca="1">VALUE(MID(CELL("filename",A2),FIND("]",CELL("filename",A2))+1,99))</f>
        <v>8</v>
      </c>
      <c r="B2" s="27"/>
      <c r="C2" s="28"/>
      <c r="D2" s="95" t="s">
        <v>10</v>
      </c>
      <c r="G2" s="101" t="s">
        <v>11</v>
      </c>
    </row>
    <row r="3" spans="1:7" ht="24.6" customHeight="1" thickBot="1" x14ac:dyDescent="0.5">
      <c r="A3" s="26"/>
      <c r="D3" s="93">
        <f>IFERROR(VLOOKUP($A$1,目次!$C$5:$I$100,5,FALSE),"")</f>
        <v>45443</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1127</v>
      </c>
      <c r="F5" s="37" t="str" cm="1">
        <f t="array" aca="1" ref="F5" ca="1">HYPERLINK(INDIRECT(C5),D5)</f>
        <v>総務部</v>
      </c>
      <c r="G5" s="38"/>
    </row>
    <row r="6" spans="1:7" ht="19.95" customHeight="1" x14ac:dyDescent="0.45">
      <c r="D6" s="36"/>
      <c r="E6" s="213" t="s">
        <v>1128</v>
      </c>
      <c r="F6" s="37"/>
      <c r="G6" s="39"/>
    </row>
    <row r="7" spans="1:7" ht="19.95" customHeight="1" x14ac:dyDescent="0.45">
      <c r="D7" s="36"/>
      <c r="E7" s="106" t="s">
        <v>1129</v>
      </c>
      <c r="F7" s="40"/>
      <c r="G7" s="39"/>
    </row>
    <row r="8" spans="1:7" ht="19.95" customHeight="1" x14ac:dyDescent="0.45">
      <c r="D8" s="36"/>
      <c r="E8" s="106" t="s">
        <v>1130</v>
      </c>
      <c r="F8" s="40"/>
      <c r="G8" s="39"/>
    </row>
    <row r="9" spans="1:7" ht="19.95" customHeight="1" x14ac:dyDescent="0.45">
      <c r="D9" s="41"/>
      <c r="E9" s="214" t="s">
        <v>1131</v>
      </c>
      <c r="F9" s="42"/>
      <c r="G9" s="43"/>
    </row>
    <row r="10" spans="1:7" ht="19.95" customHeight="1" x14ac:dyDescent="0.45">
      <c r="B10" s="23">
        <f>B5+1</f>
        <v>2</v>
      </c>
      <c r="C10" s="24" t="str">
        <f>"ﾘｽﾄ!C"&amp;B10+2</f>
        <v>ﾘｽﾄ!C4</v>
      </c>
      <c r="D10" s="44" t="str">
        <f>IFERROR(VLOOKUP($B10,ﾘｽﾄ!A:B,2,FALSE),"")</f>
        <v>人事部</v>
      </c>
      <c r="E10" s="151" t="s">
        <v>1132</v>
      </c>
      <c r="F10" s="37" t="str" cm="1">
        <f t="array" aca="1" ref="F10" ca="1">HYPERLINK(INDIRECT(C10),D10)</f>
        <v>人事部</v>
      </c>
      <c r="G10" s="45"/>
    </row>
    <row r="11" spans="1:7" ht="19.95" customHeight="1" x14ac:dyDescent="0.45">
      <c r="D11" s="36"/>
      <c r="E11" s="152" t="s">
        <v>1133</v>
      </c>
      <c r="F11" s="37"/>
      <c r="G11" s="39"/>
    </row>
    <row r="12" spans="1:7" ht="19.95" customHeight="1" x14ac:dyDescent="0.45">
      <c r="D12" s="36"/>
      <c r="E12" s="152" t="s">
        <v>1134</v>
      </c>
      <c r="F12" s="37"/>
      <c r="G12" s="39"/>
    </row>
    <row r="13" spans="1:7" ht="19.95" customHeight="1" x14ac:dyDescent="0.45">
      <c r="D13" s="36"/>
      <c r="E13" s="199" t="s">
        <v>982</v>
      </c>
      <c r="F13" s="40"/>
      <c r="G13" s="39"/>
    </row>
    <row r="14" spans="1:7" ht="19.95" customHeight="1" x14ac:dyDescent="0.45">
      <c r="D14" s="41"/>
      <c r="E14" s="200" t="s">
        <v>1135</v>
      </c>
      <c r="F14" s="42"/>
      <c r="G14" s="43"/>
    </row>
    <row r="15" spans="1:7" ht="19.95" customHeight="1" x14ac:dyDescent="0.45">
      <c r="B15" s="23">
        <f>B10+1</f>
        <v>3</v>
      </c>
      <c r="C15" s="24" t="str">
        <f>"ﾘｽﾄ!C"&amp;B15+2</f>
        <v>ﾘｽﾄ!C5</v>
      </c>
      <c r="D15" s="44" t="str">
        <f>IFERROR(VLOOKUP($B15,ﾘｽﾄ!A:B,2,FALSE),"")</f>
        <v>総務・人事統括部</v>
      </c>
      <c r="E15" s="108" t="s">
        <v>1136</v>
      </c>
      <c r="F15" s="37" t="str" cm="1">
        <f t="array" aca="1" ref="F15" ca="1">HYPERLINK(INDIRECT(C15),D15)</f>
        <v>総務・人事統括部</v>
      </c>
      <c r="G15" s="45"/>
    </row>
    <row r="16" spans="1:7" ht="19.95" customHeight="1" x14ac:dyDescent="0.45">
      <c r="D16" s="36"/>
      <c r="E16" s="106" t="s">
        <v>1137</v>
      </c>
      <c r="F16" s="37"/>
      <c r="G16" s="39"/>
    </row>
    <row r="17" spans="2:7" ht="19.95" customHeight="1" x14ac:dyDescent="0.45">
      <c r="D17" s="36"/>
      <c r="E17" s="106" t="s">
        <v>1138</v>
      </c>
      <c r="F17" s="40"/>
      <c r="G17" s="39"/>
    </row>
    <row r="18" spans="2:7" ht="19.95" customHeight="1" x14ac:dyDescent="0.45">
      <c r="D18" s="36"/>
      <c r="E18" s="106" t="s">
        <v>1139</v>
      </c>
      <c r="F18" s="40"/>
      <c r="G18" s="39"/>
    </row>
    <row r="19" spans="2:7" ht="19.95" customHeight="1" x14ac:dyDescent="0.45">
      <c r="D19" s="41"/>
      <c r="E19" s="107" t="s">
        <v>1140</v>
      </c>
      <c r="F19" s="42"/>
      <c r="G19" s="43"/>
    </row>
    <row r="20" spans="2:7" ht="19.95" customHeight="1" x14ac:dyDescent="0.45">
      <c r="B20" s="23">
        <f>B15+1</f>
        <v>4</v>
      </c>
      <c r="C20" s="24" t="str">
        <f>"ﾘｽﾄ!C"&amp;B20+2</f>
        <v>ﾘｽﾄ!C6</v>
      </c>
      <c r="D20" s="44" t="str">
        <f>IFERROR(VLOOKUP($B20,ﾘｽﾄ!A:B,2,FALSE),"")</f>
        <v>経営戦略室</v>
      </c>
      <c r="E20" s="108" t="s">
        <v>1141</v>
      </c>
      <c r="F20" s="37" t="str" cm="1">
        <f t="array" aca="1" ref="F20" ca="1">HYPERLINK(INDIRECT(C20),D20)</f>
        <v>経営戦略室</v>
      </c>
      <c r="G20" s="145" t="s">
        <v>1142</v>
      </c>
    </row>
    <row r="21" spans="2:7" ht="19.95" customHeight="1" x14ac:dyDescent="0.45">
      <c r="D21" s="36"/>
      <c r="E21" s="106" t="s">
        <v>1143</v>
      </c>
      <c r="F21" s="40"/>
      <c r="G21" s="39"/>
    </row>
    <row r="22" spans="2:7" ht="19.95" customHeight="1" x14ac:dyDescent="0.45">
      <c r="D22" s="36"/>
      <c r="E22" s="106" t="s">
        <v>1144</v>
      </c>
      <c r="F22" s="40"/>
      <c r="G22" s="39"/>
    </row>
    <row r="23" spans="2:7" ht="19.95" customHeight="1" x14ac:dyDescent="0.45">
      <c r="D23" s="36"/>
      <c r="E23" s="106" t="s">
        <v>1145</v>
      </c>
      <c r="F23" s="40"/>
      <c r="G23" s="39"/>
    </row>
    <row r="24" spans="2:7" ht="19.95" customHeight="1" x14ac:dyDescent="0.45">
      <c r="D24" s="41"/>
      <c r="E24" s="107" t="s">
        <v>1146</v>
      </c>
      <c r="F24" s="42"/>
      <c r="G24" s="43"/>
    </row>
    <row r="25" spans="2:7" ht="19.95" customHeight="1" x14ac:dyDescent="0.45">
      <c r="B25" s="23">
        <f>B20+1</f>
        <v>5</v>
      </c>
      <c r="C25" s="24" t="str">
        <f>"ﾘｽﾄ!C"&amp;B25+2</f>
        <v>ﾘｽﾄ!C7</v>
      </c>
      <c r="D25" s="44" t="str">
        <f>IFERROR(VLOOKUP($B25,ﾘｽﾄ!A:B,2,FALSE),"")</f>
        <v>経営管理部</v>
      </c>
      <c r="E25" s="108" t="s">
        <v>1147</v>
      </c>
      <c r="F25" s="37" t="str" cm="1">
        <f t="array" aca="1" ref="F25" ca="1">HYPERLINK(INDIRECT(C25),D25)</f>
        <v>経営管理部</v>
      </c>
      <c r="G25" s="45"/>
    </row>
    <row r="26" spans="2:7" ht="19.95" customHeight="1" x14ac:dyDescent="0.45">
      <c r="D26" s="36"/>
      <c r="E26" s="106" t="s">
        <v>1148</v>
      </c>
      <c r="F26" s="40"/>
      <c r="G26" s="39"/>
    </row>
    <row r="27" spans="2:7" ht="19.95" customHeight="1" x14ac:dyDescent="0.45">
      <c r="D27" s="36"/>
      <c r="E27" s="106" t="s">
        <v>1149</v>
      </c>
      <c r="F27" s="40"/>
      <c r="G27" s="162" t="s">
        <v>1150</v>
      </c>
    </row>
    <row r="28" spans="2:7" ht="19.95" customHeight="1" x14ac:dyDescent="0.45">
      <c r="D28" s="36"/>
      <c r="E28" s="220" t="s">
        <v>1151</v>
      </c>
      <c r="F28" s="40"/>
      <c r="G28" s="39"/>
    </row>
    <row r="29" spans="2:7" ht="19.95" customHeight="1" x14ac:dyDescent="0.45">
      <c r="D29" s="41"/>
      <c r="E29" s="107" t="s">
        <v>1152</v>
      </c>
      <c r="F29" s="42"/>
      <c r="G29" s="170" t="s">
        <v>1153</v>
      </c>
    </row>
    <row r="30" spans="2:7" ht="19.95" customHeight="1" x14ac:dyDescent="0.45">
      <c r="B30" s="23">
        <f>B25+1</f>
        <v>6</v>
      </c>
      <c r="C30" s="24" t="str">
        <f>"ﾘｽﾄ!C"&amp;B30+2</f>
        <v>ﾘｽﾄ!C8</v>
      </c>
      <c r="D30" s="44" t="str">
        <f>IFERROR(VLOOKUP($B30,ﾘｽﾄ!A:B,2,FALSE),"")</f>
        <v>財務部</v>
      </c>
      <c r="E30" s="156" t="s">
        <v>1001</v>
      </c>
      <c r="F30" s="37" t="str" cm="1">
        <f t="array" aca="1" ref="F30" ca="1">HYPERLINK(INDIRECT(C30),D30)</f>
        <v>財務部</v>
      </c>
      <c r="G30" s="145" t="s">
        <v>1002</v>
      </c>
    </row>
    <row r="31" spans="2:7" ht="19.95" customHeight="1" x14ac:dyDescent="0.45">
      <c r="D31" s="36"/>
      <c r="E31" s="156" t="s">
        <v>1003</v>
      </c>
      <c r="F31" s="40"/>
      <c r="G31" s="39" t="s">
        <v>1004</v>
      </c>
    </row>
    <row r="32" spans="2:7" ht="19.95" customHeight="1" x14ac:dyDescent="0.45">
      <c r="D32" s="36"/>
      <c r="E32" s="201" t="s">
        <v>1005</v>
      </c>
      <c r="F32" s="40"/>
      <c r="G32" s="39" t="s">
        <v>1006</v>
      </c>
    </row>
    <row r="33" spans="2:7" ht="19.95" customHeight="1" x14ac:dyDescent="0.45">
      <c r="D33" s="36"/>
      <c r="E33" s="106" t="s">
        <v>1154</v>
      </c>
      <c r="F33" s="40"/>
      <c r="G33" s="39" t="s">
        <v>1008</v>
      </c>
    </row>
    <row r="34" spans="2:7" ht="19.95" customHeight="1" x14ac:dyDescent="0.45">
      <c r="D34" s="41"/>
      <c r="E34" s="219" t="s">
        <v>1155</v>
      </c>
      <c r="F34" s="42"/>
      <c r="G34" s="216" t="s">
        <v>1010</v>
      </c>
    </row>
    <row r="35" spans="2:7" ht="19.95" customHeight="1" x14ac:dyDescent="0.45">
      <c r="B35" s="23">
        <f>B30+1</f>
        <v>7</v>
      </c>
      <c r="C35" s="24" t="str">
        <f>"ﾘｽﾄ!C"&amp;B35+2</f>
        <v>ﾘｽﾄ!C9</v>
      </c>
      <c r="D35" s="44" t="str">
        <f>IFERROR(VLOOKUP($B35,ﾘｽﾄ!A:B,2,FALSE),"")</f>
        <v>経営戦略・管理・財務統括部</v>
      </c>
      <c r="E35" s="108" t="s">
        <v>1156</v>
      </c>
      <c r="F35" s="37" t="str" cm="1">
        <f t="array" aca="1" ref="F35" ca="1">HYPERLINK(INDIRECT(C35),D35)</f>
        <v>経営戦略・管理・財務統括部</v>
      </c>
      <c r="G35" s="45"/>
    </row>
    <row r="36" spans="2:7" ht="19.95" customHeight="1" x14ac:dyDescent="0.45">
      <c r="D36" s="36"/>
      <c r="E36" s="106" t="s">
        <v>1157</v>
      </c>
      <c r="F36" s="40"/>
      <c r="G36" s="39"/>
    </row>
    <row r="37" spans="2:7" ht="19.95" customHeight="1" x14ac:dyDescent="0.45">
      <c r="D37" s="36"/>
      <c r="E37" s="106" t="s">
        <v>1158</v>
      </c>
      <c r="F37" s="40"/>
      <c r="G37" s="39"/>
    </row>
    <row r="38" spans="2:7" ht="19.95" customHeight="1" x14ac:dyDescent="0.45">
      <c r="D38" s="36"/>
      <c r="E38" s="106" t="s">
        <v>1159</v>
      </c>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t="s">
        <v>1160</v>
      </c>
      <c r="F40" s="37" t="str" cm="1">
        <f t="array" aca="1" ref="F40" ca="1">HYPERLINK(INDIRECT(C40),D40)</f>
        <v>公共第1プロデュース部</v>
      </c>
      <c r="G40" s="45"/>
    </row>
    <row r="41" spans="2:7" ht="19.95" customHeight="1" x14ac:dyDescent="0.45">
      <c r="D41" s="36"/>
      <c r="E41" s="115" t="s">
        <v>1161</v>
      </c>
      <c r="F41" s="40"/>
      <c r="G41" s="39"/>
    </row>
    <row r="42" spans="2:7" ht="19.95" customHeight="1" x14ac:dyDescent="0.45">
      <c r="D42" s="175"/>
      <c r="E42" s="179" t="s">
        <v>1162</v>
      </c>
      <c r="F42" s="223"/>
      <c r="G42" s="39"/>
    </row>
    <row r="43" spans="2:7" ht="19.95" customHeight="1" x14ac:dyDescent="0.45">
      <c r="D43" s="36"/>
      <c r="E43" s="115" t="s">
        <v>1163</v>
      </c>
      <c r="F43" s="40"/>
      <c r="G43" s="39"/>
    </row>
    <row r="44" spans="2:7" ht="19.95" customHeight="1" x14ac:dyDescent="0.45">
      <c r="D44" s="41"/>
      <c r="E44" s="107" t="s">
        <v>1164</v>
      </c>
      <c r="F44" s="42"/>
      <c r="G44" s="43"/>
    </row>
    <row r="45" spans="2:7" ht="19.95" customHeight="1" x14ac:dyDescent="0.45">
      <c r="B45" s="23">
        <f>B40+1</f>
        <v>9</v>
      </c>
      <c r="C45" s="24" t="str">
        <f>"ﾘｽﾄ!C"&amp;B45+2</f>
        <v>ﾘｽﾄ!C11</v>
      </c>
      <c r="D45" s="44" t="str">
        <f>IFERROR(VLOOKUP($B45,ﾘｽﾄ!A:B,2,FALSE),"")</f>
        <v>公共第2プロデュース部</v>
      </c>
      <c r="E45" s="171" t="s">
        <v>1165</v>
      </c>
      <c r="F45" s="46" t="str" cm="1">
        <f t="array" aca="1" ref="F45" ca="1">HYPERLINK(INDIRECT(C45),D45)</f>
        <v>公共第2プロデュース部</v>
      </c>
      <c r="G45" s="45" t="s">
        <v>1166</v>
      </c>
    </row>
    <row r="46" spans="2:7" ht="19.95" customHeight="1" x14ac:dyDescent="0.45">
      <c r="D46" s="36"/>
      <c r="E46" s="196" t="s">
        <v>1167</v>
      </c>
      <c r="F46" s="40"/>
      <c r="G46" s="39" t="s">
        <v>1168</v>
      </c>
    </row>
    <row r="47" spans="2:7" ht="19.95" customHeight="1" x14ac:dyDescent="0.45">
      <c r="D47" s="36"/>
      <c r="E47" s="196" t="s">
        <v>1169</v>
      </c>
      <c r="F47" s="40"/>
      <c r="G47" s="39" t="s">
        <v>1170</v>
      </c>
    </row>
    <row r="48" spans="2:7" ht="19.95" customHeight="1" x14ac:dyDescent="0.45">
      <c r="D48" s="36"/>
      <c r="E48" s="115" t="s">
        <v>1171</v>
      </c>
      <c r="F48" s="40"/>
      <c r="G48" s="39" t="s">
        <v>1172</v>
      </c>
    </row>
    <row r="49" spans="2:7" ht="19.95" customHeight="1" x14ac:dyDescent="0.45">
      <c r="D49" s="41"/>
      <c r="E49" s="116" t="s">
        <v>1173</v>
      </c>
      <c r="F49" s="42"/>
      <c r="G49" s="43"/>
    </row>
    <row r="50" spans="2:7" ht="19.95" customHeight="1" x14ac:dyDescent="0.45">
      <c r="B50" s="23">
        <f t="shared" ref="B50" si="0">B45+1</f>
        <v>10</v>
      </c>
      <c r="C50" s="24" t="str">
        <f>"ﾘｽﾄ!C"&amp;B50+2</f>
        <v>ﾘｽﾄ!C12</v>
      </c>
      <c r="D50" s="44" t="str">
        <f>IFERROR(VLOOKUP($B50,ﾘｽﾄ!A:B,2,FALSE),"")</f>
        <v>公共DX推進部</v>
      </c>
      <c r="E50" s="108" t="s">
        <v>419</v>
      </c>
      <c r="F50" s="46" t="str" cm="1">
        <f t="array" aca="1" ref="F50" ca="1">HYPERLINK(INDIRECT(C50),D50)</f>
        <v>公共DX推進部</v>
      </c>
      <c r="G50" s="45"/>
    </row>
    <row r="51" spans="2:7" ht="19.95" customHeight="1" x14ac:dyDescent="0.45">
      <c r="D51" s="36"/>
      <c r="E51" s="106" t="s">
        <v>1174</v>
      </c>
      <c r="F51" s="40"/>
      <c r="G51" s="39"/>
    </row>
    <row r="52" spans="2:7" ht="19.95" customHeight="1" x14ac:dyDescent="0.45">
      <c r="D52" s="36"/>
      <c r="E52" s="106" t="s">
        <v>1175</v>
      </c>
      <c r="F52" s="40"/>
      <c r="G52" s="39"/>
    </row>
    <row r="53" spans="2:7" ht="19.95" customHeight="1" x14ac:dyDescent="0.45">
      <c r="D53" s="36"/>
      <c r="E53" s="106" t="s">
        <v>1176</v>
      </c>
      <c r="F53" s="40"/>
      <c r="G53" s="39"/>
    </row>
    <row r="54" spans="2:7" ht="19.95" customHeight="1" x14ac:dyDescent="0.45">
      <c r="D54" s="41"/>
      <c r="E54" s="107" t="s">
        <v>1177</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221" t="s">
        <v>1178</v>
      </c>
      <c r="F55" s="46" t="str" cm="1">
        <f t="array" aca="1" ref="F55" ca="1">HYPERLINK(INDIRECT(C55),D55)</f>
        <v>社会インフラサービス部</v>
      </c>
      <c r="G55" s="45"/>
    </row>
    <row r="56" spans="2:7" ht="19.95" customHeight="1" x14ac:dyDescent="0.45">
      <c r="D56" s="36"/>
      <c r="E56" s="163" t="s">
        <v>1031</v>
      </c>
      <c r="F56" s="40"/>
      <c r="G56" s="39"/>
    </row>
    <row r="57" spans="2:7" ht="19.95" customHeight="1" x14ac:dyDescent="0.45">
      <c r="D57" s="36"/>
      <c r="E57" s="163" t="s">
        <v>1179</v>
      </c>
      <c r="F57" s="40"/>
      <c r="G57" s="39"/>
    </row>
    <row r="58" spans="2:7" ht="19.95" customHeight="1" x14ac:dyDescent="0.45">
      <c r="D58" s="36"/>
      <c r="E58" s="163" t="s">
        <v>1180</v>
      </c>
      <c r="F58" s="40"/>
      <c r="G58" s="39"/>
    </row>
    <row r="59" spans="2:7" ht="19.95" customHeight="1" x14ac:dyDescent="0.45">
      <c r="D59" s="36"/>
      <c r="E59" s="163" t="s">
        <v>1181</v>
      </c>
      <c r="F59" s="40"/>
      <c r="G59" s="39"/>
    </row>
    <row r="60" spans="2:7" ht="19.95" customHeight="1" x14ac:dyDescent="0.45">
      <c r="D60" s="41"/>
      <c r="E60" s="165" t="s">
        <v>1182</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1183</v>
      </c>
      <c r="F66" s="46" t="str" cm="1">
        <f t="array" aca="1" ref="F66" ca="1">HYPERLINK(INDIRECT(C66),D66)</f>
        <v>ITサービスマネジメント部</v>
      </c>
      <c r="G66" s="45"/>
    </row>
    <row r="67" spans="2:7" ht="19.95" customHeight="1" x14ac:dyDescent="0.45">
      <c r="D67" s="36"/>
      <c r="E67" s="140" t="s">
        <v>1184</v>
      </c>
      <c r="F67" s="40"/>
      <c r="G67" s="39"/>
    </row>
    <row r="68" spans="2:7" ht="19.95" customHeight="1" x14ac:dyDescent="0.45">
      <c r="D68" s="36"/>
      <c r="E68" s="143" t="s">
        <v>1185</v>
      </c>
      <c r="F68" s="40"/>
      <c r="G68" s="39"/>
    </row>
    <row r="69" spans="2:7" ht="19.95" customHeight="1" x14ac:dyDescent="0.45">
      <c r="D69" s="36"/>
      <c r="E69" s="140" t="s">
        <v>1039</v>
      </c>
      <c r="F69" s="40"/>
      <c r="G69" s="39"/>
    </row>
    <row r="70" spans="2:7" ht="19.95" customHeight="1" x14ac:dyDescent="0.45">
      <c r="D70" s="41"/>
      <c r="E70" s="204" t="s">
        <v>1186</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1187</v>
      </c>
      <c r="F71" s="46" t="str" cm="1">
        <f t="array" aca="1" ref="F71" ca="1">HYPERLINK(INDIRECT(C71),D71)</f>
        <v>標準化・ガバメントクラウド推進部</v>
      </c>
      <c r="G71" s="45"/>
    </row>
    <row r="72" spans="2:7" ht="19.95" customHeight="1" x14ac:dyDescent="0.45">
      <c r="D72" s="36"/>
      <c r="E72" s="106" t="s">
        <v>1188</v>
      </c>
      <c r="F72" s="40"/>
      <c r="G72" s="39"/>
    </row>
    <row r="73" spans="2:7" ht="19.95" customHeight="1" x14ac:dyDescent="0.45">
      <c r="D73" s="36"/>
      <c r="E73" s="106" t="s">
        <v>1189</v>
      </c>
      <c r="F73" s="40"/>
      <c r="G73" s="39"/>
    </row>
    <row r="74" spans="2:7" ht="19.95" customHeight="1" x14ac:dyDescent="0.45">
      <c r="D74" s="36"/>
      <c r="E74" s="106" t="s">
        <v>1190</v>
      </c>
      <c r="F74" s="40"/>
      <c r="G74" s="39"/>
    </row>
    <row r="75" spans="2:7" ht="19.95" customHeight="1" x14ac:dyDescent="0.45">
      <c r="D75" s="41"/>
      <c r="E75" s="107" t="s">
        <v>1191</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06" t="s">
        <v>1192</v>
      </c>
      <c r="F77" s="40"/>
      <c r="G77" s="39"/>
    </row>
    <row r="78" spans="2:7" ht="19.95" customHeight="1" x14ac:dyDescent="0.45">
      <c r="D78" s="36"/>
      <c r="E78" s="106" t="s">
        <v>1193</v>
      </c>
      <c r="F78" s="40"/>
      <c r="G78" s="39"/>
    </row>
    <row r="79" spans="2:7" ht="19.95" customHeight="1" x14ac:dyDescent="0.45">
      <c r="D79" s="36"/>
      <c r="E79" s="106" t="s">
        <v>102</v>
      </c>
      <c r="F79" s="40"/>
      <c r="G79" s="39"/>
    </row>
    <row r="80" spans="2:7" ht="19.95" customHeight="1" x14ac:dyDescent="0.45">
      <c r="D80" s="41"/>
      <c r="E80" s="107" t="s">
        <v>1194</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54" t="s">
        <v>1195</v>
      </c>
      <c r="F81" s="46" t="str" cm="1">
        <f t="array" aca="1" ref="F81" ca="1">HYPERLINK(INDIRECT(C81),D81)</f>
        <v>DXビジネスプロデュース部</v>
      </c>
      <c r="G81" s="45"/>
    </row>
    <row r="82" spans="2:7" ht="19.95" customHeight="1" x14ac:dyDescent="0.45">
      <c r="D82" s="36"/>
      <c r="E82" s="106" t="s">
        <v>1196</v>
      </c>
      <c r="F82" s="40"/>
      <c r="G82" s="39"/>
    </row>
    <row r="83" spans="2:7" ht="19.95" customHeight="1" x14ac:dyDescent="0.45">
      <c r="D83" s="36"/>
      <c r="E83" s="106" t="s">
        <v>1197</v>
      </c>
      <c r="F83" s="40"/>
      <c r="G83" s="39"/>
    </row>
    <row r="84" spans="2:7" ht="19.95" customHeight="1" x14ac:dyDescent="0.45">
      <c r="E84" s="106" t="s">
        <v>1198</v>
      </c>
      <c r="F84" s="40"/>
      <c r="G84" s="39"/>
    </row>
    <row r="85" spans="2:7" ht="19.95" customHeight="1" x14ac:dyDescent="0.45">
      <c r="D85" s="36"/>
      <c r="E85" s="154" t="s">
        <v>1199</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183" t="s">
        <v>1200</v>
      </c>
      <c r="F86" s="46" t="str" cm="1">
        <f t="array" aca="1" ref="F86" ca="1">HYPERLINK(INDIRECT(C86),D86)</f>
        <v>九州ビジネスプロデュース部</v>
      </c>
      <c r="G86" s="45"/>
    </row>
    <row r="87" spans="2:7" ht="19.95" customHeight="1" x14ac:dyDescent="0.45">
      <c r="D87" s="36"/>
      <c r="E87" s="169" t="s">
        <v>1201</v>
      </c>
      <c r="F87" s="40"/>
      <c r="G87" s="39"/>
    </row>
    <row r="88" spans="2:7" ht="19.95" customHeight="1" x14ac:dyDescent="0.45">
      <c r="D88" s="36"/>
      <c r="E88" s="169" t="s">
        <v>1202</v>
      </c>
      <c r="F88" s="40"/>
      <c r="G88" s="39"/>
    </row>
    <row r="89" spans="2:7" ht="19.95" customHeight="1" x14ac:dyDescent="0.45">
      <c r="D89" s="36"/>
      <c r="E89" s="169" t="s">
        <v>1203</v>
      </c>
      <c r="F89" s="40"/>
      <c r="G89" s="39"/>
    </row>
    <row r="90" spans="2:7" ht="19.95" customHeight="1" x14ac:dyDescent="0.45">
      <c r="D90" s="41"/>
      <c r="E90" s="184" t="s">
        <v>1204</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901</v>
      </c>
      <c r="F91" s="46" t="str" cm="1">
        <f t="array" aca="1" ref="F91" ca="1">HYPERLINK(INDIRECT(C91),D91)</f>
        <v>DXビジネスソリューション部</v>
      </c>
      <c r="G91" s="45"/>
    </row>
    <row r="92" spans="2:7" ht="19.95" customHeight="1" x14ac:dyDescent="0.45">
      <c r="D92" s="36"/>
      <c r="E92" s="106" t="s">
        <v>1205</v>
      </c>
      <c r="F92" s="40"/>
      <c r="G92" s="39"/>
    </row>
    <row r="93" spans="2:7" ht="19.95" customHeight="1" x14ac:dyDescent="0.45">
      <c r="D93" s="36"/>
      <c r="E93" s="106" t="s">
        <v>751</v>
      </c>
      <c r="F93" s="40"/>
      <c r="G93" s="39"/>
    </row>
    <row r="94" spans="2:7" ht="19.95" customHeight="1" x14ac:dyDescent="0.45">
      <c r="D94" s="36"/>
      <c r="E94" s="106" t="s">
        <v>1206</v>
      </c>
      <c r="F94" s="40"/>
      <c r="G94" s="39"/>
    </row>
    <row r="95" spans="2:7" ht="19.95" customHeight="1" x14ac:dyDescent="0.45">
      <c r="D95" s="41"/>
      <c r="E95" s="107" t="s">
        <v>1207</v>
      </c>
      <c r="F95" s="42"/>
      <c r="G95" s="43"/>
    </row>
    <row r="96" spans="2:7" ht="19.95" customHeight="1" x14ac:dyDescent="0.45">
      <c r="B96" s="23">
        <f t="shared" ref="B96" si="9">B91+1</f>
        <v>19</v>
      </c>
      <c r="C96" s="24" t="str">
        <f>"ﾘｽﾄ!C"&amp;B96+2</f>
        <v>ﾘｽﾄ!C21</v>
      </c>
      <c r="D96" s="44" t="str">
        <f>IFERROR(VLOOKUP($B96,ﾘｽﾄ!A:B,2,FALSE),"")</f>
        <v>システムサービス部</v>
      </c>
      <c r="E96" s="202" t="s">
        <v>1208</v>
      </c>
      <c r="F96" s="46" t="str" cm="1">
        <f t="array" aca="1" ref="F96" ca="1">HYPERLINK(INDIRECT(C96),D96)</f>
        <v>システムサービス部</v>
      </c>
      <c r="G96" s="45"/>
    </row>
    <row r="97" spans="2:7" ht="19.95" customHeight="1" x14ac:dyDescent="0.45">
      <c r="D97" s="36"/>
      <c r="E97" s="159" t="s">
        <v>1209</v>
      </c>
      <c r="F97" s="40"/>
      <c r="G97" s="39"/>
    </row>
    <row r="98" spans="2:7" ht="19.95" customHeight="1" x14ac:dyDescent="0.45">
      <c r="D98" s="36"/>
      <c r="E98" s="106" t="s">
        <v>1210</v>
      </c>
      <c r="F98" s="40"/>
      <c r="G98" s="39"/>
    </row>
    <row r="99" spans="2:7" ht="19.95" customHeight="1" x14ac:dyDescent="0.45">
      <c r="D99" s="36"/>
      <c r="E99" s="106" t="s">
        <v>1211</v>
      </c>
      <c r="F99" s="40"/>
      <c r="G99" s="39"/>
    </row>
    <row r="100" spans="2:7" ht="19.95" customHeight="1" x14ac:dyDescent="0.45">
      <c r="D100" s="41"/>
      <c r="E100" s="154" t="s">
        <v>1212</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1213</v>
      </c>
      <c r="F101" s="46" t="str" cm="1">
        <f t="array" aca="1" ref="F101" ca="1">HYPERLINK(INDIRECT(C101),D101)</f>
        <v>DX・海外連携推進室</v>
      </c>
      <c r="G101" s="45"/>
    </row>
    <row r="102" spans="2:7" ht="19.95" customHeight="1" x14ac:dyDescent="0.45">
      <c r="D102" s="36"/>
      <c r="E102" s="106" t="s">
        <v>1214</v>
      </c>
      <c r="F102" s="40"/>
      <c r="G102" s="39"/>
    </row>
    <row r="103" spans="2:7" ht="19.95" customHeight="1" x14ac:dyDescent="0.45">
      <c r="D103" s="36"/>
      <c r="E103" s="106" t="s">
        <v>1215</v>
      </c>
      <c r="F103" s="40"/>
      <c r="G103" s="39"/>
    </row>
    <row r="104" spans="2:7" ht="19.95" customHeight="1" x14ac:dyDescent="0.45">
      <c r="D104" s="36"/>
      <c r="E104" s="106" t="s">
        <v>1216</v>
      </c>
      <c r="F104" s="40"/>
      <c r="G104" s="39"/>
    </row>
    <row r="105" spans="2:7" ht="19.95" customHeight="1" x14ac:dyDescent="0.45">
      <c r="D105" s="41"/>
      <c r="E105" s="107" t="s">
        <v>1217</v>
      </c>
      <c r="F105" s="42"/>
      <c r="G105" s="43"/>
    </row>
    <row r="106" spans="2:7" ht="19.95" customHeight="1" x14ac:dyDescent="0.45">
      <c r="B106" s="23">
        <f t="shared" ref="B106" si="11">B101+1</f>
        <v>21</v>
      </c>
      <c r="C106" s="24" t="str">
        <f>"ﾘｽﾄ!C"&amp;B106+2</f>
        <v>ﾘｽﾄ!C23</v>
      </c>
      <c r="D106" s="44" t="str">
        <f>IFERROR(VLOOKUP($B106,ﾘｽﾄ!A:B,2,FALSE),"")</f>
        <v>DX推進部</v>
      </c>
      <c r="E106" s="108" t="s">
        <v>1218</v>
      </c>
      <c r="F106" s="46" t="str" cm="1">
        <f t="array" aca="1" ref="F106" ca="1">HYPERLINK(INDIRECT(C106),D106)</f>
        <v>DX推進部</v>
      </c>
      <c r="G106" s="222"/>
    </row>
    <row r="107" spans="2:7" ht="19.95" customHeight="1" x14ac:dyDescent="0.45">
      <c r="D107" s="36"/>
      <c r="E107" s="106" t="s">
        <v>1219</v>
      </c>
      <c r="F107" s="40"/>
      <c r="G107" s="39"/>
    </row>
    <row r="108" spans="2:7" ht="19.95" customHeight="1" x14ac:dyDescent="0.45">
      <c r="D108" s="36"/>
      <c r="E108" s="106" t="s">
        <v>1220</v>
      </c>
      <c r="F108" s="40"/>
      <c r="G108" s="39"/>
    </row>
    <row r="109" spans="2:7" ht="19.95" customHeight="1" x14ac:dyDescent="0.45">
      <c r="D109" s="36"/>
      <c r="E109" s="106" t="s">
        <v>1221</v>
      </c>
      <c r="F109" s="40"/>
      <c r="G109" s="39"/>
    </row>
    <row r="110" spans="2:7" ht="19.95" customHeight="1" x14ac:dyDescent="0.45">
      <c r="D110" s="41"/>
      <c r="E110" s="107" t="s">
        <v>1222</v>
      </c>
      <c r="F110" s="42"/>
      <c r="G110" s="170" t="s">
        <v>1223</v>
      </c>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1224</v>
      </c>
      <c r="F116" s="46" t="str" cm="1">
        <f t="array" aca="1" ref="F116" ca="1">HYPERLINK(INDIRECT(C116),D116)</f>
        <v>ビジネスプロデュース部</v>
      </c>
      <c r="G116" s="45"/>
    </row>
    <row r="117" spans="2:7" ht="19.95" customHeight="1" x14ac:dyDescent="0.45">
      <c r="D117" s="36"/>
      <c r="E117" s="106" t="s">
        <v>1225</v>
      </c>
      <c r="F117" s="40"/>
      <c r="G117" s="39"/>
    </row>
    <row r="118" spans="2:7" ht="19.95" customHeight="1" x14ac:dyDescent="0.45">
      <c r="D118" s="36"/>
      <c r="E118" s="106" t="s">
        <v>1226</v>
      </c>
      <c r="F118" s="40"/>
      <c r="G118" s="39"/>
    </row>
    <row r="119" spans="2:7" ht="19.95" customHeight="1" x14ac:dyDescent="0.45">
      <c r="D119" s="36"/>
      <c r="E119" s="106" t="s">
        <v>1227</v>
      </c>
      <c r="F119" s="40"/>
      <c r="G119" s="39"/>
    </row>
    <row r="120" spans="2:7" ht="19.95" customHeight="1" x14ac:dyDescent="0.45">
      <c r="D120" s="36"/>
      <c r="E120" s="106" t="s">
        <v>1228</v>
      </c>
      <c r="F120" s="40"/>
      <c r="G120" s="39" t="s">
        <v>1229</v>
      </c>
    </row>
    <row r="121" spans="2:7" ht="19.95" customHeight="1" x14ac:dyDescent="0.45">
      <c r="D121" s="41"/>
      <c r="E121" s="107" t="s">
        <v>1230</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1083</v>
      </c>
      <c r="F122" s="46" t="str" cm="1">
        <f t="array" aca="1" ref="F122" ca="1">HYPERLINK(INDIRECT(C122),D122)</f>
        <v>インフラビジネス推進部</v>
      </c>
      <c r="G122" s="45"/>
    </row>
    <row r="123" spans="2:7" ht="19.95" customHeight="1" x14ac:dyDescent="0.45">
      <c r="D123" s="36"/>
      <c r="E123" s="106" t="s">
        <v>925</v>
      </c>
      <c r="F123" s="40"/>
      <c r="G123" s="39"/>
    </row>
    <row r="124" spans="2:7" ht="19.95" customHeight="1" x14ac:dyDescent="0.45">
      <c r="D124" s="36"/>
      <c r="E124" s="174" t="s">
        <v>1084</v>
      </c>
      <c r="F124" s="40"/>
      <c r="G124" s="39"/>
    </row>
    <row r="125" spans="2:7" ht="19.95" customHeight="1" x14ac:dyDescent="0.45">
      <c r="D125" s="36"/>
      <c r="E125" s="174" t="s">
        <v>1085</v>
      </c>
      <c r="F125" s="40"/>
      <c r="G125" s="39" t="s">
        <v>148</v>
      </c>
    </row>
    <row r="126" spans="2:7" ht="19.95" customHeight="1" x14ac:dyDescent="0.45">
      <c r="D126" s="41"/>
      <c r="E126" s="107" t="s">
        <v>1231</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1232</v>
      </c>
      <c r="F132" s="46" t="str" cm="1">
        <f t="array" aca="1" ref="F132" ca="1">HYPERLINK(INDIRECT(C132),D132)</f>
        <v>西日本支社</v>
      </c>
      <c r="G132" s="45"/>
    </row>
    <row r="133" spans="2:7" ht="19.95" customHeight="1" x14ac:dyDescent="0.45">
      <c r="D133" s="36"/>
      <c r="E133" s="106" t="s">
        <v>1233</v>
      </c>
      <c r="F133" s="40"/>
      <c r="G133" s="39"/>
    </row>
    <row r="134" spans="2:7" ht="19.95" customHeight="1" x14ac:dyDescent="0.45">
      <c r="D134" s="36"/>
      <c r="E134" s="154" t="s">
        <v>1234</v>
      </c>
      <c r="F134" s="40"/>
      <c r="G134" s="39"/>
    </row>
    <row r="135" spans="2:7" ht="19.95" customHeight="1" x14ac:dyDescent="0.45">
      <c r="D135" s="36"/>
      <c r="E135" s="106" t="s">
        <v>1235</v>
      </c>
      <c r="F135" s="40"/>
      <c r="G135" s="39"/>
    </row>
    <row r="136" spans="2:7" ht="19.95" customHeight="1" x14ac:dyDescent="0.45">
      <c r="D136" s="41"/>
      <c r="E136" s="107" t="s">
        <v>635</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1236</v>
      </c>
      <c r="F137" s="46" t="str" cm="1">
        <f t="array" aca="1" ref="F137" ca="1">HYPERLINK(INDIRECT(C137),D137)</f>
        <v>福岡支社</v>
      </c>
      <c r="G137" s="45"/>
    </row>
    <row r="138" spans="2:7" ht="19.95" customHeight="1" x14ac:dyDescent="0.45">
      <c r="D138" s="36"/>
      <c r="E138" s="212" t="s">
        <v>1237</v>
      </c>
      <c r="F138" s="40"/>
      <c r="G138" s="39"/>
    </row>
    <row r="139" spans="2:7" ht="19.95" customHeight="1" x14ac:dyDescent="0.45">
      <c r="D139" s="36"/>
      <c r="E139" s="149" t="s">
        <v>1238</v>
      </c>
      <c r="F139" s="40"/>
      <c r="G139" s="39"/>
    </row>
    <row r="140" spans="2:7" ht="19.95" customHeight="1" x14ac:dyDescent="0.45">
      <c r="D140" s="36"/>
      <c r="E140" s="149" t="s">
        <v>1239</v>
      </c>
      <c r="F140" s="40"/>
      <c r="G140" s="39"/>
    </row>
    <row r="141" spans="2:7" ht="19.95" customHeight="1" x14ac:dyDescent="0.45">
      <c r="D141" s="41"/>
      <c r="E141" s="218" t="s">
        <v>1240</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06" t="s">
        <v>1241</v>
      </c>
      <c r="F142" s="46" t="str" cm="1">
        <f t="array" aca="1" ref="F142" ca="1">HYPERLINK(INDIRECT(C142),D142)</f>
        <v>公共ソリューション部</v>
      </c>
      <c r="G142" s="45"/>
    </row>
    <row r="143" spans="2:7" ht="19.95" customHeight="1" x14ac:dyDescent="0.45">
      <c r="D143" s="36"/>
      <c r="E143" s="106" t="s">
        <v>1242</v>
      </c>
      <c r="F143" s="40"/>
      <c r="G143" s="39"/>
    </row>
    <row r="144" spans="2:7" ht="19.95" customHeight="1" x14ac:dyDescent="0.45">
      <c r="D144" s="36"/>
      <c r="E144" s="106" t="s">
        <v>1243</v>
      </c>
      <c r="F144" s="40"/>
      <c r="G144" s="39"/>
    </row>
    <row r="145" spans="2:7" ht="19.95" customHeight="1" x14ac:dyDescent="0.45">
      <c r="D145" s="36"/>
      <c r="E145" s="106" t="s">
        <v>1244</v>
      </c>
      <c r="F145" s="40"/>
      <c r="G145" s="39"/>
    </row>
    <row r="146" spans="2:7" ht="19.95" customHeight="1" x14ac:dyDescent="0.45">
      <c r="D146" s="41"/>
      <c r="E146" s="106"/>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42" t="s">
        <v>1245</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1246</v>
      </c>
      <c r="F149" s="40"/>
      <c r="G149" s="39"/>
    </row>
    <row r="150" spans="2:7" ht="19.95" customHeight="1" x14ac:dyDescent="0.45">
      <c r="D150" s="36"/>
      <c r="E150" s="140" t="s">
        <v>1101</v>
      </c>
      <c r="F150" s="40"/>
      <c r="G150" s="39"/>
    </row>
    <row r="151" spans="2:7" ht="19.95" customHeight="1" x14ac:dyDescent="0.45">
      <c r="D151" s="36"/>
      <c r="E151" s="106" t="s">
        <v>1102</v>
      </c>
      <c r="F151" s="40"/>
      <c r="G151" s="39"/>
    </row>
    <row r="152" spans="2:7" ht="19.95" customHeight="1" x14ac:dyDescent="0.45">
      <c r="D152" s="41"/>
      <c r="E152" s="107" t="s">
        <v>1103</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945</v>
      </c>
      <c r="F153" s="46" t="str" cm="1">
        <f t="array" aca="1" ref="F153" ca="1">HYPERLINK(INDIRECT(C153),D153)</f>
        <v>公共ソリューション開発センター</v>
      </c>
      <c r="G153" s="45"/>
    </row>
    <row r="154" spans="2:7" ht="19.95" customHeight="1" x14ac:dyDescent="0.45">
      <c r="D154" s="36"/>
      <c r="E154" s="106" t="s">
        <v>499</v>
      </c>
      <c r="F154" s="40"/>
      <c r="G154" s="39"/>
    </row>
    <row r="155" spans="2:7" ht="19.95" customHeight="1" x14ac:dyDescent="0.45">
      <c r="D155" s="36"/>
      <c r="E155" s="106" t="s">
        <v>1247</v>
      </c>
      <c r="F155" s="40"/>
      <c r="G155" s="39"/>
    </row>
    <row r="156" spans="2:7" ht="19.95" customHeight="1" x14ac:dyDescent="0.45">
      <c r="D156" s="36"/>
      <c r="E156" s="25" t="s">
        <v>1248</v>
      </c>
      <c r="F156" s="40"/>
      <c r="G156" s="39"/>
    </row>
    <row r="157" spans="2:7" ht="19.95" customHeight="1" x14ac:dyDescent="0.45">
      <c r="D157" s="41"/>
      <c r="E157" s="107" t="s">
        <v>948</v>
      </c>
      <c r="F157" s="42"/>
      <c r="G157" s="43"/>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t="s">
        <v>1249</v>
      </c>
      <c r="F158" s="46" t="str" cm="1">
        <f t="array" aca="1" ref="F158" ca="1">HYPERLINK(INDIRECT(C158),D158)</f>
        <v>システムプロデュース事業部</v>
      </c>
      <c r="G158" s="45"/>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1250</v>
      </c>
      <c r="F163" s="46" t="str" cm="1">
        <f t="array" aca="1" ref="F163" ca="1">HYPERLINK(INDIRECT(C163),D163)</f>
        <v>デジタルイノベーション推進部</v>
      </c>
      <c r="G163" s="45"/>
    </row>
    <row r="164" spans="2:7" ht="19.95" customHeight="1" x14ac:dyDescent="0.45">
      <c r="D164" s="36"/>
      <c r="E164" s="106" t="s">
        <v>1251</v>
      </c>
      <c r="F164" s="40"/>
      <c r="G164" s="39"/>
    </row>
    <row r="165" spans="2:7" ht="19.95" customHeight="1" x14ac:dyDescent="0.45">
      <c r="D165" s="36"/>
      <c r="E165" s="106" t="s">
        <v>1252</v>
      </c>
      <c r="F165" s="40"/>
      <c r="G165" s="39"/>
    </row>
    <row r="166" spans="2:7" ht="19.95" customHeight="1" x14ac:dyDescent="0.45">
      <c r="D166" s="36"/>
      <c r="E166" s="106" t="s">
        <v>653</v>
      </c>
      <c r="F166" s="40"/>
      <c r="G166" s="39"/>
    </row>
    <row r="167" spans="2:7" ht="19.95" customHeight="1" x14ac:dyDescent="0.45">
      <c r="D167" s="41"/>
      <c r="E167" s="107" t="s">
        <v>654</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805</v>
      </c>
      <c r="F168" s="46" t="str" cm="1">
        <f t="array" aca="1" ref="F168" ca="1">HYPERLINK(INDIRECT(C168),D168)</f>
        <v>施設予約サービス部</v>
      </c>
      <c r="G168" s="45"/>
    </row>
    <row r="169" spans="2:7" ht="19.95" customHeight="1" x14ac:dyDescent="0.45">
      <c r="D169" s="36"/>
      <c r="E169" s="106" t="s">
        <v>1253</v>
      </c>
      <c r="F169" s="40"/>
      <c r="G169" s="39"/>
    </row>
    <row r="170" spans="2:7" ht="19.95" customHeight="1" x14ac:dyDescent="0.45">
      <c r="D170" s="36"/>
      <c r="E170" s="106" t="s">
        <v>1254</v>
      </c>
      <c r="F170" s="40"/>
      <c r="G170" s="39"/>
    </row>
    <row r="171" spans="2:7" ht="19.95" customHeight="1" x14ac:dyDescent="0.45">
      <c r="D171" s="36"/>
      <c r="E171" s="106" t="s">
        <v>1111</v>
      </c>
      <c r="F171" s="40"/>
      <c r="G171" s="39"/>
    </row>
    <row r="172" spans="2:7" ht="19.95" customHeight="1" x14ac:dyDescent="0.45">
      <c r="D172" s="41"/>
      <c r="E172" s="107" t="s">
        <v>1255</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810</v>
      </c>
      <c r="F173" s="46" t="str" cm="1">
        <f t="array" aca="1" ref="F173" ca="1">HYPERLINK(INDIRECT(C173),D173)</f>
        <v>ソリューションサービス部</v>
      </c>
      <c r="G173" s="45"/>
    </row>
    <row r="174" spans="2:7" ht="19.95" customHeight="1" x14ac:dyDescent="0.45">
      <c r="D174" s="36"/>
      <c r="E174" s="106" t="s">
        <v>812</v>
      </c>
      <c r="F174" s="40"/>
      <c r="G174" s="39"/>
    </row>
    <row r="175" spans="2:7" ht="19.95" customHeight="1" x14ac:dyDescent="0.45">
      <c r="D175" s="36"/>
      <c r="E175" s="106" t="s">
        <v>355</v>
      </c>
      <c r="F175" s="40"/>
      <c r="G175" s="39" t="s">
        <v>1256</v>
      </c>
    </row>
    <row r="176" spans="2:7" ht="19.95" customHeight="1" x14ac:dyDescent="0.45">
      <c r="D176" s="36"/>
      <c r="E176" s="106" t="s">
        <v>1257</v>
      </c>
      <c r="F176" s="40"/>
      <c r="G176" s="39" t="s">
        <v>1258</v>
      </c>
    </row>
    <row r="177" spans="2:7" ht="19.95" customHeight="1" x14ac:dyDescent="0.45">
      <c r="D177" s="41"/>
      <c r="E177" s="165" t="s">
        <v>1259</v>
      </c>
      <c r="F177" s="42"/>
      <c r="G177" s="43" t="s">
        <v>1260</v>
      </c>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1261</v>
      </c>
      <c r="F183" s="46" t="str" cm="1">
        <f t="array" aca="1" ref="F183" ca="1">HYPERLINK(INDIRECT(C183),D183)</f>
        <v>東京本社マネジメント推進部</v>
      </c>
      <c r="G183" s="45"/>
    </row>
    <row r="184" spans="2:7" ht="19.95" customHeight="1" x14ac:dyDescent="0.45">
      <c r="D184" s="36"/>
      <c r="E184" s="154" t="s">
        <v>1262</v>
      </c>
      <c r="F184" s="40"/>
      <c r="G184" s="39"/>
    </row>
    <row r="185" spans="2:7" ht="19.95" customHeight="1" x14ac:dyDescent="0.45">
      <c r="D185" s="36"/>
      <c r="E185" s="154" t="s">
        <v>1263</v>
      </c>
      <c r="F185" s="40"/>
      <c r="G185" s="39"/>
    </row>
    <row r="186" spans="2:7" ht="19.95" customHeight="1" x14ac:dyDescent="0.45">
      <c r="D186" s="36"/>
      <c r="E186" s="154" t="s">
        <v>1264</v>
      </c>
      <c r="F186" s="40"/>
      <c r="G186" s="39"/>
    </row>
    <row r="187" spans="2:7" ht="19.95" customHeight="1" x14ac:dyDescent="0.45">
      <c r="D187" s="41"/>
      <c r="E187" s="154" t="s">
        <v>1265</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E191" s="106"/>
      <c r="F191" s="40"/>
      <c r="G191" s="39"/>
    </row>
    <row r="192" spans="2:7" ht="19.95" customHeight="1" x14ac:dyDescent="0.45">
      <c r="D192" s="47"/>
      <c r="E192" s="107"/>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c r="F193" s="46" t="str" cm="1">
        <f t="array" aca="1" ref="F193" ca="1">HYPERLINK(INDIRECT(C193),D193)</f>
        <v>中島常務執行役員</v>
      </c>
      <c r="G193" s="45"/>
    </row>
    <row r="194" spans="2:7" ht="19.95" customHeight="1" x14ac:dyDescent="0.45">
      <c r="D194" s="36"/>
      <c r="E194" s="106"/>
      <c r="F194" s="40"/>
      <c r="G194" s="39"/>
    </row>
    <row r="195" spans="2:7" ht="19.95" customHeight="1" x14ac:dyDescent="0.45">
      <c r="D195" s="36"/>
      <c r="E195" s="106"/>
      <c r="F195" s="40"/>
      <c r="G195" s="39"/>
    </row>
    <row r="196" spans="2:7" ht="19.95" customHeight="1" x14ac:dyDescent="0.45">
      <c r="D196" s="36"/>
      <c r="E196" s="106"/>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t="s">
        <v>1266</v>
      </c>
      <c r="F198" s="46" t="str" cm="1">
        <f t="array" aca="1" ref="F198" ca="1">HYPERLINK(INDIRECT(C198),D198)</f>
        <v>河野取締役</v>
      </c>
      <c r="G198" s="45"/>
    </row>
    <row r="199" spans="2:7" ht="19.95" customHeight="1" x14ac:dyDescent="0.45">
      <c r="D199" s="36"/>
      <c r="E199" s="106" t="s">
        <v>1267</v>
      </c>
      <c r="F199" s="40"/>
      <c r="G199" s="39"/>
    </row>
    <row r="200" spans="2:7" ht="19.95" customHeight="1" x14ac:dyDescent="0.45">
      <c r="D200" s="36"/>
      <c r="E200" s="106" t="s">
        <v>1268</v>
      </c>
      <c r="F200" s="40"/>
      <c r="G200" s="39"/>
    </row>
    <row r="201" spans="2:7" ht="19.95" customHeight="1" x14ac:dyDescent="0.45">
      <c r="D201" s="36"/>
      <c r="E201" s="106"/>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t="s">
        <v>1269</v>
      </c>
      <c r="F213" s="46" t="str" cm="1">
        <f t="array" aca="1" ref="F213" ca="1">HYPERLINK(INDIRECT(C213),D213)</f>
        <v>加藤社長</v>
      </c>
      <c r="G213" s="45"/>
    </row>
    <row r="214" spans="2:7" ht="19.95" customHeight="1" x14ac:dyDescent="0.45">
      <c r="D214" s="36"/>
      <c r="E214" s="106" t="s">
        <v>1270</v>
      </c>
      <c r="F214" s="40"/>
      <c r="G214" s="39"/>
    </row>
    <row r="215" spans="2:7" ht="19.95" customHeight="1" x14ac:dyDescent="0.45">
      <c r="D215" s="36"/>
      <c r="E215" s="106" t="s">
        <v>1271</v>
      </c>
      <c r="F215" s="40"/>
      <c r="G215" s="39"/>
    </row>
    <row r="216" spans="2:7" ht="19.95" customHeight="1" x14ac:dyDescent="0.45">
      <c r="D216" s="36"/>
      <c r="E216" s="201" t="s">
        <v>1272</v>
      </c>
      <c r="F216" s="40"/>
      <c r="G216" s="39"/>
    </row>
    <row r="217" spans="2:7" ht="19.95" customHeight="1" thickBot="1" x14ac:dyDescent="0.5">
      <c r="D217" s="48"/>
      <c r="E217" s="109"/>
      <c r="F217" s="49"/>
      <c r="G217" s="50"/>
    </row>
    <row r="218" spans="2:7" x14ac:dyDescent="0.45">
      <c r="D218" s="111"/>
      <c r="E218" s="112"/>
      <c r="F218" s="113"/>
      <c r="G218" s="112"/>
    </row>
  </sheetData>
  <sheetProtection algorithmName="SHA-512" hashValue="NU/Vda8XrXdX4t9R0EVnN51P83h3U29/gGNwQi4Gi/Yy3+rbGbGCn7cBEfkoTbvINNYZOZhWNPw9mPPGxxPMiA==" saltValue="DuIvJxkCQdZNAJwsZyh/iQ==" spinCount="100000" sheet="1" objects="1" scenarios="1"/>
  <phoneticPr fontId="1"/>
  <hyperlinks>
    <hyperlink ref="F1" location="ﾘｽﾄ!A1" display="格納先一覧はこちら" xr:uid="{4458D21C-9769-46A8-98ED-30B105D15C74}"/>
    <hyperlink ref="G110" r:id="rId1" xr:uid="{55F69B3E-5DFF-41A6-95AB-324216B65981}"/>
    <hyperlink ref="G27" r:id="rId2" display="おしらせ" xr:uid="{324CF98F-EAF0-4644-AFBA-6E9AB1431ABD}"/>
    <hyperlink ref="G29" r:id="rId3" xr:uid="{8EC40D8C-6C3A-43F8-AD09-41F92D601815}"/>
    <hyperlink ref="G30" r:id="rId4" xr:uid="{30AEF9B9-4CD4-4AA5-A41C-BB0804A8137F}"/>
    <hyperlink ref="G20" r:id="rId5" xr:uid="{DAE9A11B-A0CF-4959-B4C1-4779308E0FC6}"/>
  </hyperlinks>
  <printOptions horizontalCentered="1"/>
  <pageMargins left="0" right="0" top="0" bottom="0" header="0.31496062992125984" footer="0.31496062992125984"/>
  <pageSetup paperSize="8" scale="72" fitToHeight="3" orientation="portrait" horizontalDpi="1200" verticalDpi="1200" r:id="rId6"/>
  <rowBreaks count="2" manualBreakCount="2">
    <brk id="80" min="3" max="6" man="1"/>
    <brk id="146" min="3"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8D96-6DC8-4AD9-8BA7-82CEAF209116}">
  <sheetPr codeName="Sheet11">
    <tabColor rgb="FFFFFF00"/>
  </sheetPr>
  <dimension ref="A1:G218"/>
  <sheetViews>
    <sheetView showGridLines="0" tabSelected="1" zoomScale="80" zoomScaleNormal="80" workbookViewId="0">
      <pane ySplit="4" topLeftCell="A5" activePane="bottomLeft" state="frozen"/>
      <selection activeCell="D1" sqref="D1"/>
      <selection pane="bottomLeft" activeCell="E33" sqref="E33"/>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9</v>
      </c>
      <c r="E1" s="30" t="s">
        <v>7</v>
      </c>
      <c r="F1" s="51" t="s">
        <v>8</v>
      </c>
      <c r="G1" s="52" t="s">
        <v>9</v>
      </c>
    </row>
    <row r="2" spans="1:7" x14ac:dyDescent="0.45">
      <c r="A2" s="26" cm="1">
        <f t="array" aca="1" ref="A2" ca="1">VALUE(MID(CELL("filename",A2),FIND("]",CELL("filename",A2))+1,99))</f>
        <v>9</v>
      </c>
      <c r="B2" s="27"/>
      <c r="C2" s="28"/>
      <c r="D2" s="95" t="s">
        <v>10</v>
      </c>
      <c r="G2" s="101" t="s">
        <v>11</v>
      </c>
    </row>
    <row r="3" spans="1:7" ht="24.6" customHeight="1" thickBot="1" x14ac:dyDescent="0.5">
      <c r="A3" s="26"/>
      <c r="D3" s="93">
        <f>IFERROR(VLOOKUP($A$1,目次!$C$5:$I$100,5,FALSE),"")</f>
        <v>45450</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t="s">
        <v>1273</v>
      </c>
      <c r="F5" s="136" t="str" cm="1">
        <f t="array" aca="1" ref="F5" ca="1">HYPERLINK(INDIRECT(C5),D5)</f>
        <v>総務部</v>
      </c>
      <c r="G5" s="38" t="s">
        <v>1274</v>
      </c>
    </row>
    <row r="6" spans="1:7" ht="19.95" customHeight="1" x14ac:dyDescent="0.45">
      <c r="D6" s="36"/>
      <c r="E6" s="213" t="s">
        <v>1275</v>
      </c>
      <c r="F6" s="37"/>
      <c r="G6" s="162" t="s">
        <v>1276</v>
      </c>
    </row>
    <row r="7" spans="1:7" ht="19.95" customHeight="1" x14ac:dyDescent="0.45">
      <c r="D7" s="36"/>
      <c r="E7" s="106" t="s">
        <v>1277</v>
      </c>
      <c r="F7" s="40"/>
      <c r="G7" s="39"/>
    </row>
    <row r="8" spans="1:7" ht="19.95" customHeight="1" x14ac:dyDescent="0.45">
      <c r="D8" s="36"/>
      <c r="E8" s="106" t="s">
        <v>1278</v>
      </c>
      <c r="F8" s="40"/>
      <c r="G8" s="39"/>
    </row>
    <row r="9" spans="1:7" ht="19.95" customHeight="1" x14ac:dyDescent="0.45">
      <c r="D9" s="41"/>
      <c r="E9" s="233" t="s">
        <v>1279</v>
      </c>
      <c r="F9" s="42"/>
      <c r="G9" s="43"/>
    </row>
    <row r="10" spans="1:7" ht="19.95" customHeight="1" x14ac:dyDescent="0.45">
      <c r="B10" s="23">
        <f>B5+1</f>
        <v>2</v>
      </c>
      <c r="C10" s="24" t="str">
        <f>"ﾘｽﾄ!C"&amp;B10+2</f>
        <v>ﾘｽﾄ!C4</v>
      </c>
      <c r="D10" s="44" t="str">
        <f>IFERROR(VLOOKUP($B10,ﾘｽﾄ!A:B,2,FALSE),"")</f>
        <v>人事部</v>
      </c>
      <c r="E10" s="178" t="s">
        <v>1280</v>
      </c>
      <c r="F10" s="37" t="str" cm="1">
        <f t="array" aca="1" ref="F10" ca="1">HYPERLINK(INDIRECT(C10),D10)</f>
        <v>人事部</v>
      </c>
      <c r="G10" s="45"/>
    </row>
    <row r="11" spans="1:7" ht="19.95" customHeight="1" x14ac:dyDescent="0.45">
      <c r="D11" s="36"/>
      <c r="E11" s="179" t="s">
        <v>1281</v>
      </c>
      <c r="F11" s="37"/>
      <c r="G11" s="39"/>
    </row>
    <row r="12" spans="1:7" ht="19.95" customHeight="1" x14ac:dyDescent="0.45">
      <c r="D12" s="36"/>
      <c r="E12" s="179" t="s">
        <v>1282</v>
      </c>
      <c r="F12" s="37"/>
      <c r="G12" s="39"/>
    </row>
    <row r="13" spans="1:7" ht="19.95" customHeight="1" x14ac:dyDescent="0.45">
      <c r="D13" s="36"/>
      <c r="E13" s="198" t="s">
        <v>982</v>
      </c>
      <c r="F13" s="40"/>
      <c r="G13" s="39"/>
    </row>
    <row r="14" spans="1:7" ht="19.95" customHeight="1" x14ac:dyDescent="0.45">
      <c r="D14" s="41"/>
      <c r="E14" s="235" t="s">
        <v>1283</v>
      </c>
      <c r="F14" s="42"/>
      <c r="G14" s="43"/>
    </row>
    <row r="15" spans="1:7" ht="19.95" customHeight="1" x14ac:dyDescent="0.45">
      <c r="B15" s="23">
        <f>B10+1</f>
        <v>3</v>
      </c>
      <c r="C15" s="24" t="str">
        <f>"ﾘｽﾄ!C"&amp;B15+2</f>
        <v>ﾘｽﾄ!C5</v>
      </c>
      <c r="D15" s="44" t="str">
        <f>IFERROR(VLOOKUP($B15,ﾘｽﾄ!A:B,2,FALSE),"")</f>
        <v>総務・人事統括部</v>
      </c>
      <c r="E15" s="108" t="s">
        <v>1139</v>
      </c>
      <c r="F15" s="37" t="str" cm="1">
        <f t="array" aca="1" ref="F15" ca="1">HYPERLINK(INDIRECT(C15),D15)</f>
        <v>総務・人事統括部</v>
      </c>
      <c r="G15" s="45"/>
    </row>
    <row r="16" spans="1:7" ht="19.95" customHeight="1" x14ac:dyDescent="0.45">
      <c r="D16" s="36"/>
      <c r="E16" s="106" t="s">
        <v>1284</v>
      </c>
      <c r="F16" s="37"/>
      <c r="G16" s="39"/>
    </row>
    <row r="17" spans="2:7" ht="19.95" customHeight="1" x14ac:dyDescent="0.45">
      <c r="D17" s="36"/>
      <c r="E17" s="106" t="s">
        <v>1140</v>
      </c>
      <c r="F17" s="40"/>
      <c r="G17" s="39"/>
    </row>
    <row r="18" spans="2:7" ht="19.95" customHeight="1" x14ac:dyDescent="0.45">
      <c r="D18" s="36"/>
      <c r="E18" s="106" t="s">
        <v>1285</v>
      </c>
      <c r="F18" s="40"/>
      <c r="G18" s="39"/>
    </row>
    <row r="19" spans="2:7" ht="19.95" customHeight="1" x14ac:dyDescent="0.45">
      <c r="D19" s="41"/>
      <c r="E19" s="107" t="s">
        <v>1286</v>
      </c>
      <c r="F19" s="42"/>
      <c r="G19" s="43"/>
    </row>
    <row r="20" spans="2:7" ht="19.95" customHeight="1" x14ac:dyDescent="0.45">
      <c r="B20" s="23">
        <f>B15+1</f>
        <v>4</v>
      </c>
      <c r="C20" s="24" t="str">
        <f>"ﾘｽﾄ!C"&amp;B20+2</f>
        <v>ﾘｽﾄ!C6</v>
      </c>
      <c r="D20" s="44" t="str">
        <f>IFERROR(VLOOKUP($B20,ﾘｽﾄ!A:B,2,FALSE),"")</f>
        <v>経営戦略室</v>
      </c>
      <c r="E20" s="108" t="s">
        <v>1287</v>
      </c>
      <c r="F20" s="37" t="str" cm="1">
        <f t="array" aca="1" ref="F20" ca="1">HYPERLINK(INDIRECT(C20),D20)</f>
        <v>経営戦略室</v>
      </c>
      <c r="G20" s="45"/>
    </row>
    <row r="21" spans="2:7" ht="19.95" customHeight="1" x14ac:dyDescent="0.45">
      <c r="D21" s="36"/>
      <c r="E21" s="106" t="s">
        <v>1288</v>
      </c>
      <c r="F21" s="40"/>
      <c r="G21" s="39"/>
    </row>
    <row r="22" spans="2:7" ht="19.95" customHeight="1" x14ac:dyDescent="0.45">
      <c r="D22" s="36"/>
      <c r="E22" s="106" t="s">
        <v>1289</v>
      </c>
      <c r="F22" s="40"/>
      <c r="G22" s="39"/>
    </row>
    <row r="23" spans="2:7" ht="19.95" customHeight="1" x14ac:dyDescent="0.45">
      <c r="D23" s="36"/>
      <c r="E23" s="106" t="s">
        <v>1290</v>
      </c>
      <c r="F23" s="40"/>
      <c r="G23" s="39"/>
    </row>
    <row r="24" spans="2:7" ht="19.95" customHeight="1" x14ac:dyDescent="0.45">
      <c r="D24" s="41"/>
      <c r="E24" s="107" t="s">
        <v>1291</v>
      </c>
      <c r="F24" s="42"/>
      <c r="G24" s="43"/>
    </row>
    <row r="25" spans="2:7" ht="19.95" customHeight="1" x14ac:dyDescent="0.45">
      <c r="B25" s="23">
        <f>B20+1</f>
        <v>5</v>
      </c>
      <c r="C25" s="24" t="str">
        <f>"ﾘｽﾄ!C"&amp;B25+2</f>
        <v>ﾘｽﾄ!C7</v>
      </c>
      <c r="D25" s="44" t="str">
        <f>IFERROR(VLOOKUP($B25,ﾘｽﾄ!A:B,2,FALSE),"")</f>
        <v>経営管理部</v>
      </c>
      <c r="E25" s="138" t="s">
        <v>1292</v>
      </c>
      <c r="F25" s="176" t="str" cm="1">
        <f t="array" aca="1" ref="F25" ca="1">HYPERLINK(INDIRECT(C25),D25)</f>
        <v>経営管理部</v>
      </c>
      <c r="G25" s="45"/>
    </row>
    <row r="26" spans="2:7" ht="19.95" customHeight="1" x14ac:dyDescent="0.45">
      <c r="D26" s="36"/>
      <c r="E26" s="231" t="s">
        <v>1293</v>
      </c>
      <c r="F26" s="150"/>
      <c r="G26" s="162"/>
    </row>
    <row r="27" spans="2:7" ht="19.95" customHeight="1" x14ac:dyDescent="0.45">
      <c r="D27" s="36"/>
      <c r="E27" s="139" t="s">
        <v>1294</v>
      </c>
      <c r="F27" s="150"/>
      <c r="G27" s="162" t="s">
        <v>1295</v>
      </c>
    </row>
    <row r="28" spans="2:7" ht="19.95" customHeight="1" x14ac:dyDescent="0.45">
      <c r="D28" s="175"/>
      <c r="E28" s="177" t="s">
        <v>1296</v>
      </c>
      <c r="F28" s="150"/>
      <c r="G28" s="39"/>
    </row>
    <row r="29" spans="2:7" ht="19.95" customHeight="1" x14ac:dyDescent="0.45">
      <c r="D29" s="229"/>
      <c r="E29" s="232" t="s">
        <v>1297</v>
      </c>
      <c r="F29" s="230"/>
      <c r="G29" s="43"/>
    </row>
    <row r="30" spans="2:7" ht="19.95" customHeight="1" x14ac:dyDescent="0.45">
      <c r="B30" s="23">
        <f>B25+1</f>
        <v>6</v>
      </c>
      <c r="C30" s="24" t="str">
        <f>"ﾘｽﾄ!C"&amp;B30+2</f>
        <v>ﾘｽﾄ!C8</v>
      </c>
      <c r="D30" s="44" t="str">
        <f>IFERROR(VLOOKUP($B30,ﾘｽﾄ!A:B,2,FALSE),"")</f>
        <v>財務部</v>
      </c>
      <c r="E30" s="156" t="s">
        <v>1001</v>
      </c>
      <c r="F30" s="37" t="str" cm="1">
        <f t="array" aca="1" ref="F30" ca="1">HYPERLINK(INDIRECT(C30),D30)</f>
        <v>財務部</v>
      </c>
      <c r="G30" s="145" t="s">
        <v>1002</v>
      </c>
    </row>
    <row r="31" spans="2:7" ht="19.95" customHeight="1" x14ac:dyDescent="0.45">
      <c r="D31" s="36"/>
      <c r="E31" s="156" t="s">
        <v>1298</v>
      </c>
      <c r="F31" s="40"/>
      <c r="G31" s="39" t="s">
        <v>1004</v>
      </c>
    </row>
    <row r="32" spans="2:7" ht="19.95" customHeight="1" x14ac:dyDescent="0.45">
      <c r="D32" s="36"/>
      <c r="E32" s="201" t="s">
        <v>1299</v>
      </c>
      <c r="F32" s="40"/>
      <c r="G32" s="39" t="s">
        <v>1006</v>
      </c>
    </row>
    <row r="33" spans="2:7" ht="19.95" customHeight="1" x14ac:dyDescent="0.45">
      <c r="D33" s="36"/>
      <c r="E33" s="106" t="s">
        <v>1154</v>
      </c>
      <c r="F33" s="40"/>
      <c r="G33" s="39" t="s">
        <v>1008</v>
      </c>
    </row>
    <row r="34" spans="2:7" ht="19.95" customHeight="1" x14ac:dyDescent="0.45">
      <c r="D34" s="41"/>
      <c r="E34" s="219" t="s">
        <v>1155</v>
      </c>
      <c r="F34" s="42"/>
      <c r="G34" s="216" t="s">
        <v>1010</v>
      </c>
    </row>
    <row r="35" spans="2:7" ht="19.95" customHeight="1" x14ac:dyDescent="0.45">
      <c r="B35" s="23">
        <f>B30+1</f>
        <v>7</v>
      </c>
      <c r="C35" s="24" t="str">
        <f>"ﾘｽﾄ!C"&amp;B35+2</f>
        <v>ﾘｽﾄ!C9</v>
      </c>
      <c r="D35" s="44" t="str">
        <f>IFERROR(VLOOKUP($B35,ﾘｽﾄ!A:B,2,FALSE),"")</f>
        <v>経営戦略・管理・財務統括部</v>
      </c>
      <c r="E35" s="108" t="s">
        <v>1300</v>
      </c>
      <c r="F35" s="37" t="str" cm="1">
        <f t="array" aca="1" ref="F35" ca="1">HYPERLINK(INDIRECT(C35),D35)</f>
        <v>経営戦略・管理・財務統括部</v>
      </c>
      <c r="G35" s="45"/>
    </row>
    <row r="36" spans="2:7" ht="19.95" customHeight="1" x14ac:dyDescent="0.45">
      <c r="D36" s="36"/>
      <c r="E36" s="106" t="s">
        <v>1301</v>
      </c>
      <c r="F36" s="40"/>
      <c r="G36" s="39"/>
    </row>
    <row r="37" spans="2:7" ht="19.95" customHeight="1" x14ac:dyDescent="0.45">
      <c r="D37" s="36"/>
      <c r="E37" s="106" t="s">
        <v>1302</v>
      </c>
      <c r="F37" s="40"/>
      <c r="G37" s="39"/>
    </row>
    <row r="38" spans="2:7" ht="19.95" customHeight="1" x14ac:dyDescent="0.45">
      <c r="D38" s="36"/>
      <c r="E38" s="106" t="s">
        <v>1303</v>
      </c>
      <c r="F38" s="40"/>
      <c r="G38" s="39"/>
    </row>
    <row r="39" spans="2:7" ht="19.95" customHeight="1" x14ac:dyDescent="0.45">
      <c r="D39" s="41"/>
      <c r="E39" s="107" t="s">
        <v>1304</v>
      </c>
      <c r="F39" s="42"/>
      <c r="G39" s="43"/>
    </row>
    <row r="40" spans="2:7" ht="19.95" customHeight="1" x14ac:dyDescent="0.45">
      <c r="B40" s="23">
        <f>B35+1</f>
        <v>8</v>
      </c>
      <c r="C40" s="24" t="str">
        <f>"ﾘｽﾄ!C"&amp;B40+2</f>
        <v>ﾘｽﾄ!C10</v>
      </c>
      <c r="D40" s="44" t="str">
        <f>IFERROR(VLOOKUP($B40,ﾘｽﾄ!A:B,2,FALSE),"")</f>
        <v>公共第1プロデュース部</v>
      </c>
      <c r="E40" s="108" t="s">
        <v>1305</v>
      </c>
      <c r="F40" s="37" t="str" cm="1">
        <f t="array" aca="1" ref="F40" ca="1">HYPERLINK(INDIRECT(C40),D40)</f>
        <v>公共第1プロデュース部</v>
      </c>
      <c r="G40" s="45"/>
    </row>
    <row r="41" spans="2:7" ht="19.95" customHeight="1" x14ac:dyDescent="0.45">
      <c r="D41" s="36"/>
      <c r="E41" s="106" t="s">
        <v>1306</v>
      </c>
      <c r="F41" s="40"/>
      <c r="G41" s="39"/>
    </row>
    <row r="42" spans="2:7" ht="19.95" customHeight="1" x14ac:dyDescent="0.45">
      <c r="D42" s="36"/>
      <c r="E42" s="106" t="s">
        <v>1307</v>
      </c>
      <c r="F42" s="40"/>
      <c r="G42" s="39"/>
    </row>
    <row r="43" spans="2:7" ht="19.95" customHeight="1" x14ac:dyDescent="0.45">
      <c r="D43" s="36"/>
      <c r="E43" s="106" t="s">
        <v>1308</v>
      </c>
      <c r="F43" s="40"/>
      <c r="G43" s="39"/>
    </row>
    <row r="44" spans="2:7" ht="19.95" customHeight="1" x14ac:dyDescent="0.45">
      <c r="D44" s="41"/>
      <c r="E44" s="107" t="s">
        <v>1309</v>
      </c>
      <c r="F44" s="42"/>
      <c r="G44" s="43"/>
    </row>
    <row r="45" spans="2:7" ht="19.95" customHeight="1" x14ac:dyDescent="0.45">
      <c r="B45" s="23">
        <f>B40+1</f>
        <v>9</v>
      </c>
      <c r="C45" s="24" t="str">
        <f>"ﾘｽﾄ!C"&amp;B45+2</f>
        <v>ﾘｽﾄ!C11</v>
      </c>
      <c r="D45" s="44" t="str">
        <f>IFERROR(VLOOKUP($B45,ﾘｽﾄ!A:B,2,FALSE),"")</f>
        <v>公共第2プロデュース部</v>
      </c>
      <c r="E45" s="171" t="s">
        <v>1310</v>
      </c>
      <c r="F45" s="46" t="str" cm="1">
        <f t="array" aca="1" ref="F45" ca="1">HYPERLINK(INDIRECT(C45),D45)</f>
        <v>公共第2プロデュース部</v>
      </c>
      <c r="G45" s="147" t="s">
        <v>1311</v>
      </c>
    </row>
    <row r="46" spans="2:7" ht="19.95" customHeight="1" x14ac:dyDescent="0.45">
      <c r="D46" s="36"/>
      <c r="E46" s="196" t="s">
        <v>1312</v>
      </c>
      <c r="F46" s="40"/>
      <c r="G46" s="148"/>
    </row>
    <row r="47" spans="2:7" ht="19.95" customHeight="1" x14ac:dyDescent="0.45">
      <c r="D47" s="36"/>
      <c r="E47" s="196" t="s">
        <v>1313</v>
      </c>
      <c r="F47" s="40"/>
      <c r="G47" s="148"/>
    </row>
    <row r="48" spans="2:7" ht="19.95" customHeight="1" x14ac:dyDescent="0.45">
      <c r="D48" s="36"/>
      <c r="E48" s="115" t="s">
        <v>1314</v>
      </c>
      <c r="F48" s="40"/>
      <c r="G48" s="148"/>
    </row>
    <row r="49" spans="2:7" ht="19.95" customHeight="1" x14ac:dyDescent="0.45">
      <c r="D49" s="41"/>
      <c r="E49" s="116" t="s">
        <v>1315</v>
      </c>
      <c r="F49" s="42"/>
      <c r="G49" s="146"/>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t="s">
        <v>1316</v>
      </c>
      <c r="F53" s="40"/>
      <c r="G53" s="39"/>
    </row>
    <row r="54" spans="2:7" ht="19.95" customHeight="1" x14ac:dyDescent="0.45">
      <c r="D54" s="41"/>
      <c r="E54" s="107" t="s">
        <v>1317</v>
      </c>
      <c r="F54" s="42"/>
      <c r="G54" s="43"/>
    </row>
    <row r="55" spans="2:7" ht="19.95" customHeight="1" x14ac:dyDescent="0.45">
      <c r="B55" s="23">
        <f t="shared" ref="B55" si="1">B50+1</f>
        <v>11</v>
      </c>
      <c r="C55" s="24" t="str">
        <f>"ﾘｽﾄ!C"&amp;B55+2</f>
        <v>ﾘｽﾄ!C13</v>
      </c>
      <c r="D55" s="44" t="str">
        <f>IFERROR(VLOOKUP($B55,ﾘｽﾄ!A:B,2,FALSE),"")</f>
        <v>社会インフラサービス部</v>
      </c>
      <c r="E55" s="164" t="s">
        <v>1318</v>
      </c>
      <c r="F55" s="46" t="str" cm="1">
        <f t="array" aca="1" ref="F55" ca="1">HYPERLINK(INDIRECT(C55),D55)</f>
        <v>社会インフラサービス部</v>
      </c>
      <c r="G55" s="45"/>
    </row>
    <row r="56" spans="2:7" ht="19.95" customHeight="1" x14ac:dyDescent="0.45">
      <c r="D56" s="36"/>
      <c r="E56" s="163" t="s">
        <v>1319</v>
      </c>
      <c r="F56" s="40"/>
      <c r="G56" s="39"/>
    </row>
    <row r="57" spans="2:7" ht="19.95" customHeight="1" x14ac:dyDescent="0.45">
      <c r="D57" s="36"/>
      <c r="E57" s="163" t="s">
        <v>1320</v>
      </c>
      <c r="F57" s="40"/>
      <c r="G57" s="39"/>
    </row>
    <row r="58" spans="2:7" ht="19.95" customHeight="1" x14ac:dyDescent="0.45">
      <c r="D58" s="36"/>
      <c r="E58" s="163" t="s">
        <v>1321</v>
      </c>
      <c r="F58" s="40"/>
      <c r="G58" s="39"/>
    </row>
    <row r="59" spans="2:7" ht="19.95" customHeight="1" x14ac:dyDescent="0.45">
      <c r="D59" s="36"/>
      <c r="E59" s="163" t="s">
        <v>1322</v>
      </c>
      <c r="F59" s="40"/>
      <c r="G59" s="39"/>
    </row>
    <row r="60" spans="2:7" ht="19.95" customHeight="1" x14ac:dyDescent="0.45">
      <c r="D60" s="41"/>
      <c r="E60" s="165" t="s">
        <v>1323</v>
      </c>
      <c r="F60" s="42"/>
      <c r="G60" s="43"/>
    </row>
    <row r="61" spans="2:7" ht="19.95" customHeight="1" x14ac:dyDescent="0.45">
      <c r="B61" s="23">
        <f t="shared" ref="B61" si="2">B55+1</f>
        <v>12</v>
      </c>
      <c r="C61" s="24" t="str">
        <f>"ﾘｽﾄ!C"&amp;B61+2</f>
        <v>ﾘｽﾄ!C14</v>
      </c>
      <c r="D61" s="44" t="str">
        <f>IFERROR(VLOOKUP($B61,ﾘｽﾄ!A:B,2,FALSE),"")</f>
        <v>公共ビジネス事業部</v>
      </c>
      <c r="E61" s="108"/>
      <c r="F61" s="46" t="str" cm="1">
        <f t="array" aca="1" ref="F61" ca="1">HYPERLINK(INDIRECT(C61),D61)</f>
        <v>公共ビジネス事業部</v>
      </c>
      <c r="G61" s="45"/>
    </row>
    <row r="62" spans="2:7" ht="19.95" customHeight="1" x14ac:dyDescent="0.45">
      <c r="D62" s="36"/>
      <c r="E62" s="106"/>
      <c r="F62" s="40"/>
      <c r="G62" s="39"/>
    </row>
    <row r="63" spans="2:7" ht="19.95" customHeight="1" x14ac:dyDescent="0.45">
      <c r="D63" s="36"/>
      <c r="E63" s="106"/>
      <c r="F63" s="40"/>
      <c r="G63" s="39"/>
    </row>
    <row r="64" spans="2:7" ht="19.95" customHeight="1" x14ac:dyDescent="0.45">
      <c r="D64" s="36"/>
      <c r="E64" s="106"/>
      <c r="F64" s="40"/>
      <c r="G64" s="39"/>
    </row>
    <row r="65" spans="2:7" ht="19.95" customHeight="1" x14ac:dyDescent="0.45">
      <c r="D65" s="41"/>
      <c r="E65" s="107"/>
      <c r="F65" s="42"/>
      <c r="G65" s="43"/>
    </row>
    <row r="66" spans="2:7" ht="19.95" customHeight="1" x14ac:dyDescent="0.45">
      <c r="B66" s="23">
        <f t="shared" ref="B66" si="3">B61+1</f>
        <v>13</v>
      </c>
      <c r="C66" s="24" t="str">
        <f>"ﾘｽﾄ!C"&amp;B66+2</f>
        <v>ﾘｽﾄ!C15</v>
      </c>
      <c r="D66" s="44" t="str">
        <f>IFERROR(VLOOKUP($B66,ﾘｽﾄ!A:B,2,FALSE),"")</f>
        <v>ITサービスマネジメント部</v>
      </c>
      <c r="E66" s="108" t="s">
        <v>1324</v>
      </c>
      <c r="F66" s="46" t="str" cm="1">
        <f t="array" aca="1" ref="F66" ca="1">HYPERLINK(INDIRECT(C66),D66)</f>
        <v>ITサービスマネジメント部</v>
      </c>
      <c r="G66" s="45"/>
    </row>
    <row r="67" spans="2:7" ht="19.95" customHeight="1" x14ac:dyDescent="0.45">
      <c r="D67" s="36"/>
      <c r="E67" s="140" t="s">
        <v>1325</v>
      </c>
      <c r="F67" s="40"/>
      <c r="G67" s="39"/>
    </row>
    <row r="68" spans="2:7" ht="19.95" customHeight="1" x14ac:dyDescent="0.45">
      <c r="D68" s="36"/>
      <c r="E68" s="143" t="s">
        <v>1326</v>
      </c>
      <c r="F68" s="40"/>
      <c r="G68" s="39"/>
    </row>
    <row r="69" spans="2:7" ht="19.95" customHeight="1" x14ac:dyDescent="0.45">
      <c r="D69" s="36"/>
      <c r="E69" s="140" t="s">
        <v>1327</v>
      </c>
      <c r="F69" s="40"/>
      <c r="G69" s="39"/>
    </row>
    <row r="70" spans="2:7" ht="19.95" customHeight="1" x14ac:dyDescent="0.45">
      <c r="D70" s="41"/>
      <c r="E70" s="204" t="s">
        <v>1328</v>
      </c>
      <c r="F70" s="42"/>
      <c r="G70" s="43"/>
    </row>
    <row r="71" spans="2:7" ht="19.95" customHeight="1" x14ac:dyDescent="0.45">
      <c r="B71" s="23">
        <f t="shared" ref="B71" si="4">B66+1</f>
        <v>14</v>
      </c>
      <c r="C71" s="24" t="str">
        <f>"ﾘｽﾄ!C"&amp;B71+2</f>
        <v>ﾘｽﾄ!C16</v>
      </c>
      <c r="D71" s="44" t="str">
        <f>IFERROR(VLOOKUP($B71,ﾘｽﾄ!A:B,2,FALSE),"")</f>
        <v>標準化・ガバメントクラウド推進部</v>
      </c>
      <c r="E71" s="108" t="s">
        <v>1329</v>
      </c>
      <c r="F71" s="46" t="str" cm="1">
        <f t="array" aca="1" ref="F71" ca="1">HYPERLINK(INDIRECT(C71),D71)</f>
        <v>標準化・ガバメントクラウド推進部</v>
      </c>
      <c r="G71" s="45"/>
    </row>
    <row r="72" spans="2:7" ht="19.95" customHeight="1" x14ac:dyDescent="0.45">
      <c r="D72" s="36"/>
      <c r="E72" s="106" t="s">
        <v>1330</v>
      </c>
      <c r="F72" s="40"/>
      <c r="G72" s="39"/>
    </row>
    <row r="73" spans="2:7" ht="19.95" customHeight="1" x14ac:dyDescent="0.45">
      <c r="D73" s="36"/>
      <c r="E73" s="106" t="s">
        <v>1331</v>
      </c>
      <c r="F73" s="40"/>
      <c r="G73" s="39"/>
    </row>
    <row r="74" spans="2:7" ht="19.95" customHeight="1" x14ac:dyDescent="0.45">
      <c r="D74" s="36"/>
      <c r="E74" s="106" t="s">
        <v>1332</v>
      </c>
      <c r="F74" s="40"/>
      <c r="G74" s="39"/>
    </row>
    <row r="75" spans="2:7" ht="19.95" customHeight="1" x14ac:dyDescent="0.45">
      <c r="D75" s="41"/>
      <c r="E75" s="107" t="s">
        <v>1333</v>
      </c>
      <c r="F75" s="42"/>
      <c r="G75" s="43"/>
    </row>
    <row r="76" spans="2:7" ht="19.95" customHeight="1" x14ac:dyDescent="0.45">
      <c r="B76" s="23">
        <f t="shared" ref="B76" si="5">B71+1</f>
        <v>15</v>
      </c>
      <c r="C76" s="24" t="str">
        <f>"ﾘｽﾄ!C"&amp;B76+2</f>
        <v>ﾘｽﾄ!C17</v>
      </c>
      <c r="D76" s="44" t="str">
        <f>IFERROR(VLOOKUP($B76,ﾘｽﾄ!A:B,2,FALSE),"")</f>
        <v>ITサービス事業部</v>
      </c>
      <c r="E76" s="108" t="s">
        <v>100</v>
      </c>
      <c r="F76" s="46" t="str" cm="1">
        <f t="array" aca="1" ref="F76" ca="1">HYPERLINK(INDIRECT(C76),D76)</f>
        <v>ITサービス事業部</v>
      </c>
      <c r="G76" s="45"/>
    </row>
    <row r="77" spans="2:7" ht="19.95" customHeight="1" x14ac:dyDescent="0.45">
      <c r="D77" s="36"/>
      <c r="E77" s="106" t="s">
        <v>1334</v>
      </c>
      <c r="F77" s="40"/>
      <c r="G77" s="39"/>
    </row>
    <row r="78" spans="2:7" ht="19.95" customHeight="1" x14ac:dyDescent="0.45">
      <c r="D78" s="36"/>
      <c r="E78" s="106" t="s">
        <v>1335</v>
      </c>
      <c r="F78" s="40"/>
      <c r="G78" s="39"/>
    </row>
    <row r="79" spans="2:7" ht="19.95" customHeight="1" x14ac:dyDescent="0.45">
      <c r="D79" s="36"/>
      <c r="E79" s="106" t="s">
        <v>1336</v>
      </c>
      <c r="F79" s="40"/>
      <c r="G79" s="39"/>
    </row>
    <row r="80" spans="2:7" ht="19.95" customHeight="1" x14ac:dyDescent="0.45">
      <c r="D80" s="41"/>
      <c r="E80" s="107" t="s">
        <v>1337</v>
      </c>
      <c r="F80" s="42"/>
      <c r="G80" s="43"/>
    </row>
    <row r="81" spans="2:7" ht="19.95" customHeight="1" x14ac:dyDescent="0.45">
      <c r="B81" s="23">
        <f t="shared" ref="B81" si="6">B76+1</f>
        <v>16</v>
      </c>
      <c r="C81" s="24" t="str">
        <f>"ﾘｽﾄ!C"&amp;B81+2</f>
        <v>ﾘｽﾄ!C18</v>
      </c>
      <c r="D81" s="44" t="str">
        <f>IFERROR(VLOOKUP($B81,ﾘｽﾄ!A:B,2,FALSE),"")</f>
        <v>DXビジネスプロデュース部</v>
      </c>
      <c r="E81" s="106" t="s">
        <v>1338</v>
      </c>
      <c r="F81" s="46" t="str" cm="1">
        <f t="array" aca="1" ref="F81" ca="1">HYPERLINK(INDIRECT(C81),D81)</f>
        <v>DXビジネスプロデュース部</v>
      </c>
      <c r="G81" s="45"/>
    </row>
    <row r="82" spans="2:7" ht="19.95" customHeight="1" x14ac:dyDescent="0.45">
      <c r="D82" s="36"/>
      <c r="E82" s="106" t="s">
        <v>1339</v>
      </c>
      <c r="F82" s="40"/>
      <c r="G82" s="39"/>
    </row>
    <row r="83" spans="2:7" ht="19.95" customHeight="1" x14ac:dyDescent="0.45">
      <c r="D83" s="36"/>
      <c r="E83" s="106" t="s">
        <v>1340</v>
      </c>
      <c r="F83" s="40"/>
      <c r="G83" s="39"/>
    </row>
    <row r="84" spans="2:7" ht="19.95" customHeight="1" x14ac:dyDescent="0.45">
      <c r="D84" s="36"/>
      <c r="E84" s="106" t="s">
        <v>1341</v>
      </c>
      <c r="F84" s="40"/>
      <c r="G84" s="39"/>
    </row>
    <row r="85" spans="2:7" ht="19.95" customHeight="1" x14ac:dyDescent="0.45">
      <c r="D85" s="41"/>
      <c r="E85" s="106" t="s">
        <v>1342</v>
      </c>
      <c r="F85" s="42"/>
      <c r="G85" s="43"/>
    </row>
    <row r="86" spans="2:7" ht="19.95" customHeight="1" x14ac:dyDescent="0.45">
      <c r="B86" s="23">
        <f t="shared" ref="B86" si="7">B81+1</f>
        <v>17</v>
      </c>
      <c r="C86" s="24" t="str">
        <f>"ﾘｽﾄ!C"&amp;B86+2</f>
        <v>ﾘｽﾄ!C19</v>
      </c>
      <c r="D86" s="44" t="str">
        <f>IFERROR(VLOOKUP($B86,ﾘｽﾄ!A:B,2,FALSE),"")</f>
        <v>九州ビジネスプロデュース部</v>
      </c>
      <c r="E86" s="224" t="s">
        <v>1343</v>
      </c>
      <c r="F86" s="46" t="str" cm="1">
        <f t="array" aca="1" ref="F86" ca="1">HYPERLINK(INDIRECT(C86),D86)</f>
        <v>九州ビジネスプロデュース部</v>
      </c>
      <c r="G86" s="45"/>
    </row>
    <row r="87" spans="2:7" ht="19.95" customHeight="1" x14ac:dyDescent="0.45">
      <c r="D87" s="36"/>
      <c r="E87" s="225" t="s">
        <v>1344</v>
      </c>
      <c r="F87" s="40"/>
      <c r="G87" s="39"/>
    </row>
    <row r="88" spans="2:7" ht="19.95" customHeight="1" x14ac:dyDescent="0.45">
      <c r="D88" s="36"/>
      <c r="E88" s="225" t="s">
        <v>1345</v>
      </c>
      <c r="F88" s="40"/>
      <c r="G88" s="39"/>
    </row>
    <row r="89" spans="2:7" ht="19.95" customHeight="1" x14ac:dyDescent="0.45">
      <c r="D89" s="36"/>
      <c r="E89" s="225" t="s">
        <v>1346</v>
      </c>
      <c r="F89" s="40"/>
      <c r="G89" s="39"/>
    </row>
    <row r="90" spans="2:7" ht="19.95" customHeight="1" x14ac:dyDescent="0.45">
      <c r="D90" s="41"/>
      <c r="E90" s="226" t="s">
        <v>1347</v>
      </c>
      <c r="F90" s="42"/>
      <c r="G90" s="43"/>
    </row>
    <row r="91" spans="2:7" ht="19.95" customHeight="1" x14ac:dyDescent="0.45">
      <c r="B91" s="23">
        <f t="shared" ref="B91" si="8">B86+1</f>
        <v>18</v>
      </c>
      <c r="C91" s="24" t="str">
        <f>"ﾘｽﾄ!C"&amp;B91+2</f>
        <v>ﾘｽﾄ!C20</v>
      </c>
      <c r="D91" s="44" t="str">
        <f>IFERROR(VLOOKUP($B91,ﾘｽﾄ!A:B,2,FALSE),"")</f>
        <v>DXビジネスソリューション部</v>
      </c>
      <c r="E91" s="108" t="s">
        <v>901</v>
      </c>
      <c r="F91" s="46" t="str" cm="1">
        <f t="array" aca="1" ref="F91" ca="1">HYPERLINK(INDIRECT(C91),D91)</f>
        <v>DXビジネスソリューション部</v>
      </c>
      <c r="G91" s="45"/>
    </row>
    <row r="92" spans="2:7" ht="19.95" customHeight="1" x14ac:dyDescent="0.45">
      <c r="D92" s="36"/>
      <c r="E92" s="106" t="s">
        <v>1205</v>
      </c>
      <c r="F92" s="40"/>
      <c r="G92" s="39"/>
    </row>
    <row r="93" spans="2:7" ht="19.95" customHeight="1" x14ac:dyDescent="0.45">
      <c r="D93" s="36"/>
      <c r="E93" s="106" t="s">
        <v>751</v>
      </c>
      <c r="F93" s="40"/>
      <c r="G93" s="39"/>
    </row>
    <row r="94" spans="2:7" ht="19.95" customHeight="1" x14ac:dyDescent="0.45">
      <c r="D94" s="36"/>
      <c r="E94" s="106" t="s">
        <v>1348</v>
      </c>
      <c r="F94" s="40"/>
      <c r="G94" s="39"/>
    </row>
    <row r="95" spans="2:7" ht="19.95" customHeight="1" x14ac:dyDescent="0.45">
      <c r="D95" s="41"/>
      <c r="E95" s="107" t="s">
        <v>1349</v>
      </c>
      <c r="F95" s="42"/>
      <c r="G95" s="43"/>
    </row>
    <row r="96" spans="2:7" ht="19.95" customHeight="1" x14ac:dyDescent="0.45">
      <c r="B96" s="23">
        <f t="shared" ref="B96" si="9">B91+1</f>
        <v>19</v>
      </c>
      <c r="C96" s="24" t="str">
        <f>"ﾘｽﾄ!C"&amp;B96+2</f>
        <v>ﾘｽﾄ!C21</v>
      </c>
      <c r="D96" s="44" t="str">
        <f>IFERROR(VLOOKUP($B96,ﾘｽﾄ!A:B,2,FALSE),"")</f>
        <v>システムサービス部</v>
      </c>
      <c r="E96" s="202" t="s">
        <v>1350</v>
      </c>
      <c r="F96" s="46" t="str" cm="1">
        <f t="array" aca="1" ref="F96" ca="1">HYPERLINK(INDIRECT(C96),D96)</f>
        <v>システムサービス部</v>
      </c>
      <c r="G96" s="45"/>
    </row>
    <row r="97" spans="2:7" ht="19.95" customHeight="1" x14ac:dyDescent="0.45">
      <c r="D97" s="36"/>
      <c r="E97" s="159" t="s">
        <v>1351</v>
      </c>
      <c r="F97" s="40"/>
      <c r="G97" s="39"/>
    </row>
    <row r="98" spans="2:7" ht="19.95" customHeight="1" x14ac:dyDescent="0.45">
      <c r="D98" s="36"/>
      <c r="E98" s="106" t="s">
        <v>1352</v>
      </c>
      <c r="F98" s="40"/>
      <c r="G98" s="39"/>
    </row>
    <row r="99" spans="2:7" ht="19.95" customHeight="1" x14ac:dyDescent="0.45">
      <c r="D99" s="36"/>
      <c r="E99" s="106" t="s">
        <v>1353</v>
      </c>
      <c r="F99" s="40"/>
      <c r="G99" s="39"/>
    </row>
    <row r="100" spans="2:7" ht="19.95" customHeight="1" x14ac:dyDescent="0.45">
      <c r="D100" s="41"/>
      <c r="E100" s="154" t="s">
        <v>1354</v>
      </c>
      <c r="F100" s="42"/>
      <c r="G100" s="43"/>
    </row>
    <row r="101" spans="2:7" ht="19.95" customHeight="1" x14ac:dyDescent="0.45">
      <c r="B101" s="23">
        <f t="shared" ref="B101" si="10">B96+1</f>
        <v>20</v>
      </c>
      <c r="C101" s="24" t="str">
        <f>"ﾘｽﾄ!C"&amp;B101+2</f>
        <v>ﾘｽﾄ!C22</v>
      </c>
      <c r="D101" s="44" t="str">
        <f>IFERROR(VLOOKUP($B101,ﾘｽﾄ!A:B,2,FALSE),"")</f>
        <v>DX・海外連携推進室</v>
      </c>
      <c r="E101" s="108" t="s">
        <v>1355</v>
      </c>
      <c r="F101" s="46" t="str" cm="1">
        <f t="array" aca="1" ref="F101" ca="1">HYPERLINK(INDIRECT(C101),D101)</f>
        <v>DX・海外連携推進室</v>
      </c>
      <c r="G101" s="45"/>
    </row>
    <row r="102" spans="2:7" ht="19.95" customHeight="1" x14ac:dyDescent="0.45">
      <c r="D102" s="36"/>
      <c r="E102" s="106" t="s">
        <v>1356</v>
      </c>
      <c r="F102" s="40"/>
      <c r="G102" s="39"/>
    </row>
    <row r="103" spans="2:7" ht="19.95" customHeight="1" x14ac:dyDescent="0.45">
      <c r="D103" s="36"/>
      <c r="E103" s="106" t="s">
        <v>1357</v>
      </c>
      <c r="F103" s="40"/>
      <c r="G103" s="39"/>
    </row>
    <row r="104" spans="2:7" ht="19.95" customHeight="1" x14ac:dyDescent="0.45">
      <c r="D104" s="36"/>
      <c r="E104" s="106" t="s">
        <v>762</v>
      </c>
      <c r="F104" s="40"/>
      <c r="G104" s="39"/>
    </row>
    <row r="105" spans="2:7" ht="19.95" customHeight="1" x14ac:dyDescent="0.45">
      <c r="D105" s="41"/>
      <c r="E105" s="107" t="s">
        <v>1358</v>
      </c>
      <c r="F105" s="42"/>
      <c r="G105" s="43"/>
    </row>
    <row r="106" spans="2:7" ht="19.95" customHeight="1" x14ac:dyDescent="0.45">
      <c r="B106" s="23">
        <f t="shared" ref="B106" si="11">B101+1</f>
        <v>21</v>
      </c>
      <c r="C106" s="24" t="str">
        <f>"ﾘｽﾄ!C"&amp;B106+2</f>
        <v>ﾘｽﾄ!C23</v>
      </c>
      <c r="D106" s="44" t="str">
        <f>IFERROR(VLOOKUP($B106,ﾘｽﾄ!A:B,2,FALSE),"")</f>
        <v>DX推進部</v>
      </c>
      <c r="E106" s="108" t="s">
        <v>1359</v>
      </c>
      <c r="F106" s="46" t="str" cm="1">
        <f t="array" aca="1" ref="F106" ca="1">HYPERLINK(INDIRECT(C106),D106)</f>
        <v>DX推進部</v>
      </c>
      <c r="G106" s="45"/>
    </row>
    <row r="107" spans="2:7" ht="19.95" customHeight="1" x14ac:dyDescent="0.45">
      <c r="D107" s="36"/>
      <c r="E107" s="106" t="s">
        <v>1360</v>
      </c>
      <c r="F107" s="40"/>
      <c r="G107" s="39"/>
    </row>
    <row r="108" spans="2:7" ht="19.95" customHeight="1" x14ac:dyDescent="0.45">
      <c r="D108" s="36"/>
      <c r="E108" s="106" t="s">
        <v>1361</v>
      </c>
      <c r="F108" s="40"/>
      <c r="G108" s="39"/>
    </row>
    <row r="109" spans="2:7" ht="19.95" customHeight="1" x14ac:dyDescent="0.45">
      <c r="D109" s="36"/>
      <c r="E109" s="106" t="s">
        <v>1362</v>
      </c>
      <c r="F109" s="40"/>
      <c r="G109" s="39"/>
    </row>
    <row r="110" spans="2:7" ht="19.95" customHeight="1" x14ac:dyDescent="0.45">
      <c r="D110" s="41"/>
      <c r="E110" s="107" t="s">
        <v>1363</v>
      </c>
      <c r="F110" s="42"/>
      <c r="G110" s="43"/>
    </row>
    <row r="111" spans="2:7" ht="19.95" customHeight="1" x14ac:dyDescent="0.45">
      <c r="B111" s="23">
        <f t="shared" ref="B111" si="12">B106+1</f>
        <v>22</v>
      </c>
      <c r="C111" s="24" t="str">
        <f>"ﾘｽﾄ!C"&amp;B111+2</f>
        <v>ﾘｽﾄ!C24</v>
      </c>
      <c r="D111" s="44" t="str">
        <f>IFERROR(VLOOKUP($B111,ﾘｽﾄ!A:B,2,FALSE),"")</f>
        <v>DXプロデュース事業部</v>
      </c>
      <c r="E111" s="108" t="s">
        <v>136</v>
      </c>
      <c r="F111" s="46" t="str" cm="1">
        <f t="array" aca="1" ref="F111" ca="1">HYPERLINK(INDIRECT(C111),D111)</f>
        <v>DXプロデュース事業部</v>
      </c>
      <c r="G111" s="45"/>
    </row>
    <row r="112" spans="2:7" ht="19.95" customHeight="1" x14ac:dyDescent="0.45">
      <c r="D112" s="36"/>
      <c r="E112" s="106" t="s">
        <v>137</v>
      </c>
      <c r="F112" s="40"/>
      <c r="G112" s="39"/>
    </row>
    <row r="113" spans="2:7" ht="19.95" customHeight="1" x14ac:dyDescent="0.45">
      <c r="D113" s="36"/>
      <c r="E113" s="106"/>
      <c r="F113" s="40"/>
      <c r="G113" s="39"/>
    </row>
    <row r="114" spans="2:7" ht="19.95" customHeight="1" x14ac:dyDescent="0.45">
      <c r="D114" s="36"/>
      <c r="E114" s="106"/>
      <c r="F114" s="40"/>
      <c r="G114" s="39"/>
    </row>
    <row r="115" spans="2:7" ht="19.95" customHeight="1" x14ac:dyDescent="0.45">
      <c r="D115" s="41"/>
      <c r="E115" s="107"/>
      <c r="F115" s="42"/>
      <c r="G115" s="43"/>
    </row>
    <row r="116" spans="2:7" ht="19.95" customHeight="1" x14ac:dyDescent="0.45">
      <c r="B116" s="23">
        <f t="shared" ref="B116" si="13">B111+1</f>
        <v>23</v>
      </c>
      <c r="C116" s="24" t="str">
        <f>"ﾘｽﾄ!C"&amp;B116+2</f>
        <v>ﾘｽﾄ!C25</v>
      </c>
      <c r="D116" s="44" t="str">
        <f>IFERROR(VLOOKUP($B116,ﾘｽﾄ!A:B,2,FALSE),"")</f>
        <v>ビジネスプロデュース部</v>
      </c>
      <c r="E116" s="108" t="s">
        <v>1364</v>
      </c>
      <c r="F116" s="46" t="str" cm="1">
        <f t="array" aca="1" ref="F116" ca="1">HYPERLINK(INDIRECT(C116),D116)</f>
        <v>ビジネスプロデュース部</v>
      </c>
      <c r="G116" s="45"/>
    </row>
    <row r="117" spans="2:7" ht="19.95" customHeight="1" x14ac:dyDescent="0.45">
      <c r="D117" s="36"/>
      <c r="E117" s="106" t="s">
        <v>1365</v>
      </c>
      <c r="F117" s="40"/>
      <c r="G117" s="39"/>
    </row>
    <row r="118" spans="2:7" ht="19.95" customHeight="1" x14ac:dyDescent="0.45">
      <c r="D118" s="36"/>
      <c r="E118" s="106" t="s">
        <v>1366</v>
      </c>
      <c r="F118" s="40"/>
      <c r="G118" s="39"/>
    </row>
    <row r="119" spans="2:7" ht="19.95" customHeight="1" x14ac:dyDescent="0.45">
      <c r="D119" s="36"/>
      <c r="E119" s="106" t="s">
        <v>1367</v>
      </c>
      <c r="F119" s="40"/>
      <c r="G119" s="39"/>
    </row>
    <row r="120" spans="2:7" ht="19.95" customHeight="1" x14ac:dyDescent="0.45">
      <c r="D120" s="36"/>
      <c r="E120" s="106" t="s">
        <v>1368</v>
      </c>
      <c r="F120" s="40"/>
      <c r="G120" s="39"/>
    </row>
    <row r="121" spans="2:7" ht="19.95" customHeight="1" x14ac:dyDescent="0.45">
      <c r="D121" s="41"/>
      <c r="E121" s="107" t="s">
        <v>1369</v>
      </c>
      <c r="F121" s="42"/>
      <c r="G121" s="43"/>
    </row>
    <row r="122" spans="2:7" ht="19.95" customHeight="1" x14ac:dyDescent="0.45">
      <c r="B122" s="23">
        <f t="shared" ref="B122" si="14">B116+1</f>
        <v>24</v>
      </c>
      <c r="C122" s="24" t="str">
        <f>"ﾘｽﾄ!C"&amp;B122+2</f>
        <v>ﾘｽﾄ!C26</v>
      </c>
      <c r="D122" s="44" t="str">
        <f>IFERROR(VLOOKUP($B122,ﾘｽﾄ!A:B,2,FALSE),"")</f>
        <v>インフラビジネス推進部</v>
      </c>
      <c r="E122" s="135" t="s">
        <v>1370</v>
      </c>
      <c r="F122" s="46" t="str" cm="1">
        <f t="array" aca="1" ref="F122" ca="1">HYPERLINK(INDIRECT(C122),D122)</f>
        <v>インフラビジネス推進部</v>
      </c>
      <c r="G122" s="45"/>
    </row>
    <row r="123" spans="2:7" ht="19.95" customHeight="1" x14ac:dyDescent="0.45">
      <c r="D123" s="36"/>
      <c r="E123" s="154" t="s">
        <v>1371</v>
      </c>
      <c r="F123" s="40"/>
      <c r="G123" s="39"/>
    </row>
    <row r="124" spans="2:7" ht="19.95" customHeight="1" x14ac:dyDescent="0.45">
      <c r="D124" s="36"/>
      <c r="E124" s="234" t="s">
        <v>1372</v>
      </c>
      <c r="F124" s="40"/>
      <c r="G124" s="39"/>
    </row>
    <row r="125" spans="2:7" ht="19.95" customHeight="1" x14ac:dyDescent="0.45">
      <c r="D125" s="36"/>
      <c r="E125" s="234" t="s">
        <v>1373</v>
      </c>
      <c r="F125" s="40"/>
      <c r="G125" s="39" t="s">
        <v>148</v>
      </c>
    </row>
    <row r="126" spans="2:7" ht="19.95" customHeight="1" x14ac:dyDescent="0.45">
      <c r="D126" s="41"/>
      <c r="E126" s="107" t="s">
        <v>1374</v>
      </c>
      <c r="F126" s="42"/>
      <c r="G126" s="43"/>
    </row>
    <row r="127" spans="2:7" ht="19.95" customHeight="1" x14ac:dyDescent="0.45">
      <c r="B127" s="23">
        <f t="shared" ref="B127" si="15">B122+1</f>
        <v>25</v>
      </c>
      <c r="C127" s="24" t="str">
        <f>"ﾘｽﾄ!C"&amp;B127+2</f>
        <v>ﾘｽﾄ!C27</v>
      </c>
      <c r="D127" s="44" t="str">
        <f>IFERROR(VLOOKUP($B127,ﾘｽﾄ!A:B,2,FALSE),"")</f>
        <v>ビジネスプロデュース事業部</v>
      </c>
      <c r="E127" s="108"/>
      <c r="F127" s="46" t="str" cm="1">
        <f t="array" aca="1" ref="F127" ca="1">HYPERLINK(INDIRECT(C127),D127)</f>
        <v>ビジネスプロデュース事業部</v>
      </c>
      <c r="G127" s="45"/>
    </row>
    <row r="128" spans="2:7" ht="19.95" customHeight="1" x14ac:dyDescent="0.45">
      <c r="D128" s="36"/>
      <c r="E128" s="106"/>
      <c r="F128" s="40"/>
      <c r="G128" s="39"/>
    </row>
    <row r="129" spans="2:7" ht="19.95" customHeight="1" x14ac:dyDescent="0.45">
      <c r="D129" s="36"/>
      <c r="E129" s="106"/>
      <c r="F129" s="40"/>
      <c r="G129" s="39"/>
    </row>
    <row r="130" spans="2:7" ht="19.95" customHeight="1" x14ac:dyDescent="0.45">
      <c r="D130" s="36"/>
      <c r="E130" s="106"/>
      <c r="F130" s="40"/>
      <c r="G130" s="39"/>
    </row>
    <row r="131" spans="2:7" ht="19.95" customHeight="1" x14ac:dyDescent="0.45">
      <c r="D131" s="41"/>
      <c r="E131" s="107"/>
      <c r="F131" s="42"/>
      <c r="G131" s="43"/>
    </row>
    <row r="132" spans="2:7" ht="19.95" customHeight="1" x14ac:dyDescent="0.45">
      <c r="B132" s="23">
        <f t="shared" ref="B132" si="16">B127+1</f>
        <v>26</v>
      </c>
      <c r="C132" s="24" t="str">
        <f>"ﾘｽﾄ!C"&amp;B132+2</f>
        <v>ﾘｽﾄ!C28</v>
      </c>
      <c r="D132" s="44" t="str">
        <f>IFERROR(VLOOKUP($B132,ﾘｽﾄ!A:B,2,FALSE),"")</f>
        <v>西日本支社</v>
      </c>
      <c r="E132" s="108" t="s">
        <v>1375</v>
      </c>
      <c r="F132" s="46" t="str" cm="1">
        <f t="array" aca="1" ref="F132" ca="1">HYPERLINK(INDIRECT(C132),D132)</f>
        <v>西日本支社</v>
      </c>
      <c r="G132" s="45"/>
    </row>
    <row r="133" spans="2:7" ht="19.95" customHeight="1" x14ac:dyDescent="0.45">
      <c r="D133" s="36"/>
      <c r="E133" s="106" t="s">
        <v>1376</v>
      </c>
      <c r="F133" s="40"/>
      <c r="G133" s="39"/>
    </row>
    <row r="134" spans="2:7" ht="19.95" customHeight="1" x14ac:dyDescent="0.45">
      <c r="D134" s="36"/>
      <c r="E134" s="154" t="s">
        <v>1234</v>
      </c>
      <c r="F134" s="40"/>
      <c r="G134" s="39"/>
    </row>
    <row r="135" spans="2:7" ht="19.95" customHeight="1" x14ac:dyDescent="0.45">
      <c r="D135" s="36"/>
      <c r="E135" s="106" t="s">
        <v>1377</v>
      </c>
      <c r="F135" s="40"/>
      <c r="G135" s="39"/>
    </row>
    <row r="136" spans="2:7" ht="19.95" customHeight="1" x14ac:dyDescent="0.45">
      <c r="D136" s="41"/>
      <c r="E136" s="107" t="s">
        <v>1378</v>
      </c>
      <c r="F136" s="42"/>
      <c r="G136" s="43"/>
    </row>
    <row r="137" spans="2:7" ht="19.95" customHeight="1" x14ac:dyDescent="0.45">
      <c r="B137" s="23">
        <f t="shared" ref="B137" si="17">B132+1</f>
        <v>27</v>
      </c>
      <c r="C137" s="24" t="str">
        <f>"ﾘｽﾄ!C"&amp;B137+2</f>
        <v>ﾘｽﾄ!C29</v>
      </c>
      <c r="D137" s="44" t="str">
        <f>IFERROR(VLOOKUP($B137,ﾘｽﾄ!A:B,2,FALSE),"")</f>
        <v>福岡支社</v>
      </c>
      <c r="E137" s="108" t="s">
        <v>1236</v>
      </c>
      <c r="F137" s="46" t="str" cm="1">
        <f t="array" aca="1" ref="F137" ca="1">HYPERLINK(INDIRECT(C137),D137)</f>
        <v>福岡支社</v>
      </c>
      <c r="G137" s="45"/>
    </row>
    <row r="138" spans="2:7" ht="19.95" customHeight="1" x14ac:dyDescent="0.45">
      <c r="D138" s="36"/>
      <c r="E138" s="139" t="s">
        <v>1379</v>
      </c>
      <c r="F138" s="40"/>
      <c r="G138" s="39"/>
    </row>
    <row r="139" spans="2:7" ht="19.95" customHeight="1" x14ac:dyDescent="0.45">
      <c r="D139" s="36"/>
      <c r="E139" s="149" t="s">
        <v>1380</v>
      </c>
      <c r="F139" s="40"/>
      <c r="G139" s="39"/>
    </row>
    <row r="140" spans="2:7" ht="19.95" customHeight="1" x14ac:dyDescent="0.45">
      <c r="D140" s="36"/>
      <c r="E140" s="149" t="s">
        <v>1381</v>
      </c>
      <c r="F140" s="40"/>
      <c r="G140" s="39"/>
    </row>
    <row r="141" spans="2:7" ht="19.95" customHeight="1" x14ac:dyDescent="0.45">
      <c r="D141" s="41"/>
      <c r="E141" s="218" t="s">
        <v>1382</v>
      </c>
      <c r="F141" s="42"/>
      <c r="G141" s="43"/>
    </row>
    <row r="142" spans="2:7" ht="19.95" customHeight="1" x14ac:dyDescent="0.45">
      <c r="B142" s="23">
        <f t="shared" ref="B142" si="18">B137+1</f>
        <v>28</v>
      </c>
      <c r="C142" s="24" t="str">
        <f>"ﾘｽﾄ!C"&amp;B142+2</f>
        <v>ﾘｽﾄ!C30</v>
      </c>
      <c r="D142" s="44" t="str">
        <f>IFERROR(VLOOKUP($B142,ﾘｽﾄ!A:B,2,FALSE),"")</f>
        <v>公共ソリューション部</v>
      </c>
      <c r="E142" s="106" t="s">
        <v>1383</v>
      </c>
      <c r="F142" s="46" t="str" cm="1">
        <f t="array" aca="1" ref="F142" ca="1">HYPERLINK(INDIRECT(C142),D142)</f>
        <v>公共ソリューション部</v>
      </c>
      <c r="G142" s="45"/>
    </row>
    <row r="143" spans="2:7" ht="19.95" customHeight="1" x14ac:dyDescent="0.45">
      <c r="D143" s="36"/>
      <c r="E143" s="106" t="s">
        <v>1384</v>
      </c>
      <c r="F143" s="40"/>
      <c r="G143" s="39"/>
    </row>
    <row r="144" spans="2:7" ht="19.95" customHeight="1" x14ac:dyDescent="0.45">
      <c r="D144" s="36"/>
      <c r="E144" s="106" t="s">
        <v>1385</v>
      </c>
      <c r="F144" s="40"/>
      <c r="G144" s="39"/>
    </row>
    <row r="145" spans="2:7" ht="19.95" customHeight="1" x14ac:dyDescent="0.45">
      <c r="D145" s="36"/>
      <c r="E145" s="106" t="s">
        <v>1386</v>
      </c>
      <c r="F145" s="40"/>
      <c r="G145" s="39"/>
    </row>
    <row r="146" spans="2:7" ht="19.95" customHeight="1" x14ac:dyDescent="0.45">
      <c r="D146" s="41"/>
      <c r="E146" s="107"/>
      <c r="F146" s="42"/>
      <c r="G146" s="43"/>
    </row>
    <row r="147" spans="2:7" ht="19.95" customHeight="1" x14ac:dyDescent="0.45">
      <c r="B147" s="23">
        <f t="shared" ref="B147" si="19">B142+1</f>
        <v>29</v>
      </c>
      <c r="C147" s="24" t="str">
        <f t="shared" ref="C147" si="20">"ﾘｽﾄ!C"&amp;B147+2</f>
        <v>ﾘｽﾄ!C31</v>
      </c>
      <c r="D147" s="44" t="str">
        <f>IFERROR(VLOOKUP($B147,ﾘｽﾄ!A:B,2,FALSE),"")</f>
        <v>ソリューション開発部</v>
      </c>
      <c r="E147" s="142" t="s">
        <v>1387</v>
      </c>
      <c r="F147" s="46" t="str" cm="1">
        <f t="array" aca="1" ref="F147" ca="1">HYPERLINK(INDIRECT(C147),D147)</f>
        <v>ソリューション開発部</v>
      </c>
      <c r="G147" s="45"/>
    </row>
    <row r="148" spans="2:7" ht="19.95" customHeight="1" x14ac:dyDescent="0.45">
      <c r="D148" s="36"/>
      <c r="E148" s="140" t="s">
        <v>166</v>
      </c>
      <c r="F148" s="40"/>
      <c r="G148" s="39"/>
    </row>
    <row r="149" spans="2:7" ht="19.95" customHeight="1" x14ac:dyDescent="0.45">
      <c r="D149" s="36"/>
      <c r="E149" s="140" t="s">
        <v>1246</v>
      </c>
      <c r="F149" s="40"/>
      <c r="G149" s="39"/>
    </row>
    <row r="150" spans="2:7" ht="19.95" customHeight="1" x14ac:dyDescent="0.45">
      <c r="D150" s="36"/>
      <c r="E150" s="140" t="s">
        <v>1101</v>
      </c>
      <c r="F150" s="40"/>
      <c r="G150" s="39"/>
    </row>
    <row r="151" spans="2:7" ht="19.95" customHeight="1" x14ac:dyDescent="0.45">
      <c r="D151" s="36"/>
      <c r="E151" s="106" t="s">
        <v>1388</v>
      </c>
      <c r="F151" s="40"/>
      <c r="G151" s="39"/>
    </row>
    <row r="152" spans="2:7" ht="19.95" customHeight="1" x14ac:dyDescent="0.45">
      <c r="D152" s="41"/>
      <c r="E152" s="107" t="s">
        <v>1389</v>
      </c>
      <c r="F152" s="42"/>
      <c r="G152" s="43"/>
    </row>
    <row r="153" spans="2:7" ht="19.95" customHeight="1" x14ac:dyDescent="0.45">
      <c r="B153" s="23">
        <f t="shared" ref="B153" si="21">B147+1</f>
        <v>30</v>
      </c>
      <c r="C153" s="24" t="str">
        <f t="shared" ref="C153" si="22">"ﾘｽﾄ!C"&amp;B153+2</f>
        <v>ﾘｽﾄ!C32</v>
      </c>
      <c r="D153" s="44" t="str">
        <f>IFERROR(VLOOKUP($B153,ﾘｽﾄ!A:B,2,FALSE),"")</f>
        <v>公共ソリューション開発センター</v>
      </c>
      <c r="E153" s="108" t="s">
        <v>945</v>
      </c>
      <c r="F153" s="46" t="str" cm="1">
        <f t="array" aca="1" ref="F153" ca="1">HYPERLINK(INDIRECT(C153),D153)</f>
        <v>公共ソリューション開発センター</v>
      </c>
      <c r="G153" s="45"/>
    </row>
    <row r="154" spans="2:7" ht="19.95" customHeight="1" x14ac:dyDescent="0.45">
      <c r="D154" s="36"/>
      <c r="E154" s="106" t="s">
        <v>1390</v>
      </c>
      <c r="F154" s="40"/>
      <c r="G154" s="39"/>
    </row>
    <row r="155" spans="2:7" ht="19.95" customHeight="1" x14ac:dyDescent="0.45">
      <c r="D155" s="36"/>
      <c r="E155" s="106" t="s">
        <v>1391</v>
      </c>
      <c r="F155" s="40"/>
      <c r="G155" s="39"/>
    </row>
    <row r="156" spans="2:7" ht="19.95" customHeight="1" x14ac:dyDescent="0.45">
      <c r="D156" s="36"/>
      <c r="E156" s="227" t="s">
        <v>1392</v>
      </c>
      <c r="F156" s="150"/>
      <c r="G156" s="39"/>
    </row>
    <row r="157" spans="2:7" ht="19.95" customHeight="1" x14ac:dyDescent="0.45">
      <c r="D157" s="41"/>
      <c r="E157" s="107" t="s">
        <v>948</v>
      </c>
      <c r="F157" s="42"/>
      <c r="G157" s="43"/>
    </row>
    <row r="158" spans="2:7" ht="19.95" customHeight="1" x14ac:dyDescent="0.45">
      <c r="B158" s="23">
        <f t="shared" ref="B158" si="23">B153+1</f>
        <v>31</v>
      </c>
      <c r="C158" s="24" t="str">
        <f t="shared" ref="C158" si="24">"ﾘｽﾄ!C"&amp;B158+2</f>
        <v>ﾘｽﾄ!C33</v>
      </c>
      <c r="D158" s="44" t="str">
        <f>IFERROR(VLOOKUP($B158,ﾘｽﾄ!A:B,2,FALSE),"")</f>
        <v>システムプロデュース事業部</v>
      </c>
      <c r="E158" s="108" t="s">
        <v>1393</v>
      </c>
      <c r="F158" s="46" t="str" cm="1">
        <f t="array" aca="1" ref="F158" ca="1">HYPERLINK(INDIRECT(C158),D158)</f>
        <v>システムプロデュース事業部</v>
      </c>
      <c r="G158" s="45"/>
    </row>
    <row r="159" spans="2:7" ht="19.95" customHeight="1" x14ac:dyDescent="0.45">
      <c r="D159" s="36"/>
      <c r="E159" s="106"/>
      <c r="F159" s="40"/>
      <c r="G159" s="39"/>
    </row>
    <row r="160" spans="2:7" ht="19.95" customHeight="1" x14ac:dyDescent="0.45">
      <c r="D160" s="36"/>
      <c r="E160" s="106"/>
      <c r="F160" s="40"/>
      <c r="G160" s="39"/>
    </row>
    <row r="161" spans="2:7" ht="19.95" customHeight="1" x14ac:dyDescent="0.45">
      <c r="D161" s="36"/>
      <c r="E161" s="106"/>
      <c r="F161" s="40"/>
      <c r="G161" s="39"/>
    </row>
    <row r="162" spans="2:7" ht="19.95" customHeight="1" x14ac:dyDescent="0.45">
      <c r="D162" s="41"/>
      <c r="E162" s="107"/>
      <c r="F162" s="42"/>
      <c r="G162" s="43"/>
    </row>
    <row r="163" spans="2:7" ht="19.95" customHeight="1" x14ac:dyDescent="0.45">
      <c r="B163" s="23">
        <f t="shared" ref="B163" si="25">B158+1</f>
        <v>32</v>
      </c>
      <c r="C163" s="24" t="str">
        <f t="shared" ref="C163" si="26">"ﾘｽﾄ!C"&amp;B163+2</f>
        <v>ﾘｽﾄ!C34</v>
      </c>
      <c r="D163" s="44" t="str">
        <f>IFERROR(VLOOKUP($B163,ﾘｽﾄ!A:B,2,FALSE),"")</f>
        <v>デジタルイノベーション推進部</v>
      </c>
      <c r="E163" s="108" t="s">
        <v>1394</v>
      </c>
      <c r="F163" s="46" t="str" cm="1">
        <f t="array" aca="1" ref="F163" ca="1">HYPERLINK(INDIRECT(C163),D163)</f>
        <v>デジタルイノベーション推進部</v>
      </c>
      <c r="G163" s="45"/>
    </row>
    <row r="164" spans="2:7" ht="19.95" customHeight="1" x14ac:dyDescent="0.45">
      <c r="D164" s="36"/>
      <c r="E164" s="106" t="s">
        <v>1395</v>
      </c>
      <c r="F164" s="40"/>
      <c r="G164" s="39"/>
    </row>
    <row r="165" spans="2:7" ht="19.95" customHeight="1" x14ac:dyDescent="0.45">
      <c r="D165" s="36"/>
      <c r="E165" s="106" t="s">
        <v>1396</v>
      </c>
      <c r="F165" s="40"/>
      <c r="G165" s="39"/>
    </row>
    <row r="166" spans="2:7" ht="19.95" customHeight="1" x14ac:dyDescent="0.45">
      <c r="D166" s="36"/>
      <c r="E166" s="106" t="s">
        <v>653</v>
      </c>
      <c r="F166" s="40"/>
      <c r="G166" s="39"/>
    </row>
    <row r="167" spans="2:7" ht="19.95" customHeight="1" x14ac:dyDescent="0.45">
      <c r="D167" s="41"/>
      <c r="E167" s="107" t="s">
        <v>654</v>
      </c>
      <c r="F167" s="42"/>
      <c r="G167" s="43"/>
    </row>
    <row r="168" spans="2:7" ht="19.95" customHeight="1" x14ac:dyDescent="0.45">
      <c r="B168" s="23">
        <f t="shared" ref="B168" si="27">B163+1</f>
        <v>33</v>
      </c>
      <c r="C168" s="24" t="str">
        <f t="shared" ref="C168" si="28">"ﾘｽﾄ!C"&amp;B168+2</f>
        <v>ﾘｽﾄ!C35</v>
      </c>
      <c r="D168" s="44" t="str">
        <f>IFERROR(VLOOKUP($B168,ﾘｽﾄ!A:B,2,FALSE),"")</f>
        <v>施設予約サービス部</v>
      </c>
      <c r="E168" s="135" t="s">
        <v>805</v>
      </c>
      <c r="F168" s="46" t="str" cm="1">
        <f t="array" aca="1" ref="F168" ca="1">HYPERLINK(INDIRECT(C168),D168)</f>
        <v>施設予約サービス部</v>
      </c>
      <c r="G168" s="45"/>
    </row>
    <row r="169" spans="2:7" ht="19.95" customHeight="1" x14ac:dyDescent="0.45">
      <c r="D169" s="36"/>
      <c r="E169" s="106" t="s">
        <v>1397</v>
      </c>
      <c r="F169" s="40"/>
      <c r="G169" s="39"/>
    </row>
    <row r="170" spans="2:7" ht="19.95" customHeight="1" x14ac:dyDescent="0.45">
      <c r="D170" s="36"/>
      <c r="E170" s="106" t="s">
        <v>1398</v>
      </c>
      <c r="F170" s="40"/>
      <c r="G170" s="39"/>
    </row>
    <row r="171" spans="2:7" ht="19.95" customHeight="1" x14ac:dyDescent="0.45">
      <c r="D171" s="36"/>
      <c r="E171" s="106" t="s">
        <v>1399</v>
      </c>
      <c r="F171" s="40"/>
      <c r="G171" s="39"/>
    </row>
    <row r="172" spans="2:7" ht="19.95" customHeight="1" x14ac:dyDescent="0.45">
      <c r="D172" s="41"/>
      <c r="E172" s="107" t="s">
        <v>1400</v>
      </c>
      <c r="F172" s="42"/>
      <c r="G172" s="43"/>
    </row>
    <row r="173" spans="2:7" ht="19.95" customHeight="1" x14ac:dyDescent="0.45">
      <c r="B173" s="23">
        <f t="shared" ref="B173" si="29">B168+1</f>
        <v>34</v>
      </c>
      <c r="C173" s="24" t="str">
        <f t="shared" ref="C173" si="30">"ﾘｽﾄ!C"&amp;B173+2</f>
        <v>ﾘｽﾄ!C36</v>
      </c>
      <c r="D173" s="44" t="str">
        <f>IFERROR(VLOOKUP($B173,ﾘｽﾄ!A:B,2,FALSE),"")</f>
        <v>ソリューションサービス部</v>
      </c>
      <c r="E173" s="135" t="s">
        <v>1401</v>
      </c>
      <c r="F173" s="46" t="str" cm="1">
        <f t="array" aca="1" ref="F173" ca="1">HYPERLINK(INDIRECT(C173),D173)</f>
        <v>ソリューションサービス部</v>
      </c>
      <c r="G173" s="45"/>
    </row>
    <row r="174" spans="2:7" ht="19.95" customHeight="1" x14ac:dyDescent="0.45">
      <c r="D174" s="36"/>
      <c r="E174" s="106" t="s">
        <v>1402</v>
      </c>
      <c r="F174" s="40"/>
      <c r="G174" s="39" t="s">
        <v>1403</v>
      </c>
    </row>
    <row r="175" spans="2:7" ht="19.95" customHeight="1" x14ac:dyDescent="0.45">
      <c r="D175" s="36"/>
      <c r="E175" s="106" t="s">
        <v>1404</v>
      </c>
      <c r="F175" s="40"/>
      <c r="G175" s="39" t="s">
        <v>1405</v>
      </c>
    </row>
    <row r="176" spans="2:7" ht="19.95" customHeight="1" x14ac:dyDescent="0.45">
      <c r="D176" s="36"/>
      <c r="E176" s="106" t="s">
        <v>1406</v>
      </c>
      <c r="F176" s="40"/>
      <c r="G176" s="39" t="s">
        <v>1407</v>
      </c>
    </row>
    <row r="177" spans="2:7" ht="19.95" customHeight="1" x14ac:dyDescent="0.45">
      <c r="D177" s="41"/>
      <c r="E177" s="165" t="s">
        <v>1408</v>
      </c>
      <c r="F177" s="42"/>
      <c r="G177" s="43" t="s">
        <v>1409</v>
      </c>
    </row>
    <row r="178" spans="2:7" ht="19.95" customHeight="1" x14ac:dyDescent="0.45">
      <c r="B178" s="23">
        <f t="shared" ref="B178" si="31">B173+1</f>
        <v>35</v>
      </c>
      <c r="C178" s="24" t="str">
        <f t="shared" ref="C178" si="32">"ﾘｽﾄ!C"&amp;B178+2</f>
        <v>ﾘｽﾄ!C37</v>
      </c>
      <c r="D178" s="44" t="str">
        <f>IFERROR(VLOOKUP($B178,ﾘｽﾄ!A:B,2,FALSE),"")</f>
        <v>ソリューション事業部</v>
      </c>
      <c r="E178" s="108"/>
      <c r="F178" s="46" t="str" cm="1">
        <f t="array" aca="1" ref="F178" ca="1">HYPERLINK(INDIRECT(C178),D178)</f>
        <v>ソリューション事業部</v>
      </c>
      <c r="G178" s="45"/>
    </row>
    <row r="179" spans="2:7" ht="19.95" customHeight="1" x14ac:dyDescent="0.45">
      <c r="D179" s="36"/>
      <c r="E179" s="106"/>
      <c r="F179" s="40"/>
      <c r="G179" s="39"/>
    </row>
    <row r="180" spans="2:7" ht="19.95" customHeight="1" x14ac:dyDescent="0.45">
      <c r="D180" s="36"/>
      <c r="E180" s="106"/>
      <c r="F180" s="40"/>
      <c r="G180" s="39"/>
    </row>
    <row r="181" spans="2:7" ht="19.95" customHeight="1" x14ac:dyDescent="0.45">
      <c r="D181" s="36"/>
      <c r="E181" s="106"/>
      <c r="F181" s="40"/>
      <c r="G181" s="39"/>
    </row>
    <row r="182" spans="2:7" ht="19.95" customHeight="1" x14ac:dyDescent="0.45">
      <c r="D182" s="41"/>
      <c r="E182" s="107"/>
      <c r="F182" s="42"/>
      <c r="G182" s="43"/>
    </row>
    <row r="183" spans="2:7" ht="19.95" customHeight="1" x14ac:dyDescent="0.45">
      <c r="B183" s="23">
        <f t="shared" ref="B183" si="33">B178+1</f>
        <v>36</v>
      </c>
      <c r="C183" s="24" t="str">
        <f t="shared" ref="C183" si="34">"ﾘｽﾄ!C"&amp;B183+2</f>
        <v>ﾘｽﾄ!C38</v>
      </c>
      <c r="D183" s="44" t="str">
        <f>IFERROR(VLOOKUP($B183,ﾘｽﾄ!A:B,2,FALSE),"")</f>
        <v>東京本社マネジメント推進部</v>
      </c>
      <c r="E183" s="154" t="s">
        <v>1410</v>
      </c>
      <c r="F183" s="46" t="str" cm="1">
        <f t="array" aca="1" ref="F183" ca="1">HYPERLINK(INDIRECT(C183),D183)</f>
        <v>東京本社マネジメント推進部</v>
      </c>
      <c r="G183" s="45"/>
    </row>
    <row r="184" spans="2:7" ht="19.95" customHeight="1" x14ac:dyDescent="0.45">
      <c r="D184" s="36"/>
      <c r="E184" s="154" t="s">
        <v>1262</v>
      </c>
      <c r="F184" s="40"/>
      <c r="G184" s="39"/>
    </row>
    <row r="185" spans="2:7" ht="19.95" customHeight="1" x14ac:dyDescent="0.45">
      <c r="D185" s="36"/>
      <c r="E185" s="154" t="s">
        <v>1411</v>
      </c>
      <c r="F185" s="40"/>
      <c r="G185" s="39"/>
    </row>
    <row r="186" spans="2:7" ht="19.95" customHeight="1" x14ac:dyDescent="0.45">
      <c r="D186" s="36"/>
      <c r="E186" s="154" t="s">
        <v>1412</v>
      </c>
      <c r="F186" s="40"/>
      <c r="G186" s="39"/>
    </row>
    <row r="187" spans="2:7" ht="19.95" customHeight="1" x14ac:dyDescent="0.45">
      <c r="D187" s="41"/>
      <c r="E187" s="154" t="s">
        <v>1413</v>
      </c>
      <c r="F187" s="42"/>
      <c r="G187" s="43"/>
    </row>
    <row r="188" spans="2:7" ht="19.95" customHeight="1" x14ac:dyDescent="0.45">
      <c r="B188" s="23">
        <f t="shared" ref="B188" si="35">B183+1</f>
        <v>37</v>
      </c>
      <c r="C188" s="24" t="str">
        <f t="shared" ref="C188" si="36">"ﾘｽﾄ!C"&amp;B188+2</f>
        <v>ﾘｽﾄ!C39</v>
      </c>
      <c r="D188" s="44" t="str">
        <f>IFERROR(VLOOKUP($B188,ﾘｽﾄ!A:B,2,FALSE),"")</f>
        <v>佐藤執行役員</v>
      </c>
      <c r="E188" s="108"/>
      <c r="F188" s="46" t="str" cm="1">
        <f t="array" aca="1" ref="F188" ca="1">HYPERLINK(INDIRECT(C188),D188)</f>
        <v>佐藤執行役員</v>
      </c>
      <c r="G188" s="45"/>
    </row>
    <row r="189" spans="2:7" ht="19.95" customHeight="1" x14ac:dyDescent="0.45">
      <c r="D189" s="36"/>
      <c r="E189" s="106"/>
      <c r="F189" s="40"/>
      <c r="G189" s="39"/>
    </row>
    <row r="190" spans="2:7" ht="19.95" customHeight="1" x14ac:dyDescent="0.45">
      <c r="D190" s="36"/>
      <c r="E190" s="106"/>
      <c r="F190" s="40"/>
      <c r="G190" s="39"/>
    </row>
    <row r="191" spans="2:7" ht="19.95" customHeight="1" x14ac:dyDescent="0.45">
      <c r="D191" s="36"/>
      <c r="E191" s="106"/>
      <c r="F191" s="40"/>
      <c r="G191" s="39"/>
    </row>
    <row r="192" spans="2:7" ht="19.95" customHeight="1" x14ac:dyDescent="0.45">
      <c r="D192" s="47"/>
      <c r="E192" s="107"/>
      <c r="F192" s="42"/>
      <c r="G192" s="43"/>
    </row>
    <row r="193" spans="2:7" ht="19.95" customHeight="1" x14ac:dyDescent="0.45">
      <c r="B193" s="23">
        <f t="shared" ref="B193" si="37">B188+1</f>
        <v>38</v>
      </c>
      <c r="C193" s="24" t="str">
        <f t="shared" ref="C193" si="38">"ﾘｽﾄ!C"&amp;B193+2</f>
        <v>ﾘｽﾄ!C40</v>
      </c>
      <c r="D193" s="44" t="str">
        <f>IFERROR(VLOOKUP($B193,ﾘｽﾄ!A:B,2,FALSE),"")</f>
        <v>中島常務執行役員</v>
      </c>
      <c r="E193" s="108" t="s">
        <v>1414</v>
      </c>
      <c r="F193" s="46" t="str" cm="1">
        <f t="array" aca="1" ref="F193" ca="1">HYPERLINK(INDIRECT(C193),D193)</f>
        <v>中島常務執行役員</v>
      </c>
      <c r="G193" s="45"/>
    </row>
    <row r="194" spans="2:7" ht="19.95" customHeight="1" x14ac:dyDescent="0.45">
      <c r="D194" s="36"/>
      <c r="E194" s="106" t="s">
        <v>1415</v>
      </c>
      <c r="F194" s="40"/>
      <c r="G194" s="39"/>
    </row>
    <row r="195" spans="2:7" ht="19.95" customHeight="1" x14ac:dyDescent="0.45">
      <c r="D195" s="36"/>
      <c r="E195" s="106"/>
      <c r="F195" s="40"/>
      <c r="G195" s="39"/>
    </row>
    <row r="196" spans="2:7" ht="19.95" customHeight="1" x14ac:dyDescent="0.45">
      <c r="D196" s="36"/>
      <c r="E196" s="106"/>
      <c r="F196" s="40"/>
      <c r="G196" s="39"/>
    </row>
    <row r="197" spans="2:7" ht="19.95" customHeight="1" x14ac:dyDescent="0.45">
      <c r="D197" s="47"/>
      <c r="E197" s="107"/>
      <c r="F197" s="42"/>
      <c r="G197" s="43"/>
    </row>
    <row r="198" spans="2:7" ht="19.95" customHeight="1" x14ac:dyDescent="0.45">
      <c r="B198" s="23">
        <f t="shared" ref="B198" si="39">B193+1</f>
        <v>39</v>
      </c>
      <c r="C198" s="24" t="str">
        <f t="shared" ref="C198" si="40">"ﾘｽﾄ!C"&amp;B198+2</f>
        <v>ﾘｽﾄ!C41</v>
      </c>
      <c r="D198" s="44" t="str">
        <f>IFERROR(VLOOKUP($B198,ﾘｽﾄ!A:B,2,FALSE),"")</f>
        <v>河野取締役</v>
      </c>
      <c r="E198" s="108"/>
      <c r="F198" s="46" t="str" cm="1">
        <f t="array" aca="1" ref="F198" ca="1">HYPERLINK(INDIRECT(C198),D198)</f>
        <v>河野取締役</v>
      </c>
      <c r="G198" s="45"/>
    </row>
    <row r="199" spans="2:7" ht="19.95" customHeight="1" x14ac:dyDescent="0.45">
      <c r="D199" s="36"/>
      <c r="E199" s="106"/>
      <c r="F199" s="40"/>
      <c r="G199" s="39"/>
    </row>
    <row r="200" spans="2:7" ht="19.95" customHeight="1" x14ac:dyDescent="0.45">
      <c r="D200" s="36"/>
      <c r="E200" s="106"/>
      <c r="F200" s="40"/>
      <c r="G200" s="39"/>
    </row>
    <row r="201" spans="2:7" ht="19.95" customHeight="1" x14ac:dyDescent="0.45">
      <c r="D201" s="36"/>
      <c r="E201" s="106"/>
      <c r="F201" s="40"/>
      <c r="G201" s="39"/>
    </row>
    <row r="202" spans="2:7" ht="19.95" customHeight="1" x14ac:dyDescent="0.45">
      <c r="D202" s="47"/>
      <c r="E202" s="107"/>
      <c r="F202" s="42"/>
      <c r="G202" s="43"/>
    </row>
    <row r="203" spans="2:7" ht="19.95" customHeight="1" x14ac:dyDescent="0.45">
      <c r="B203" s="23">
        <f t="shared" ref="B203" si="41">B198+1</f>
        <v>40</v>
      </c>
      <c r="C203" s="24" t="str">
        <f t="shared" ref="C203" si="42">"ﾘｽﾄ!C"&amp;B203+2</f>
        <v>ﾘｽﾄ!C42</v>
      </c>
      <c r="D203" s="44" t="str">
        <f>IFERROR(VLOOKUP($B203,ﾘｽﾄ!A:B,2,FALSE),"")</f>
        <v>安東常務</v>
      </c>
      <c r="E203" s="108"/>
      <c r="F203" s="46" t="str" cm="1">
        <f t="array" aca="1" ref="F203" ca="1">HYPERLINK(INDIRECT(C203),D203)</f>
        <v>安東常務</v>
      </c>
      <c r="G203" s="45"/>
    </row>
    <row r="204" spans="2:7" ht="19.95" customHeight="1" x14ac:dyDescent="0.45">
      <c r="D204" s="36"/>
      <c r="E204" s="106"/>
      <c r="F204" s="40"/>
      <c r="G204" s="39"/>
    </row>
    <row r="205" spans="2:7" ht="19.95" customHeight="1" x14ac:dyDescent="0.45">
      <c r="D205" s="36"/>
      <c r="E205" s="106"/>
      <c r="F205" s="40"/>
      <c r="G205" s="39"/>
    </row>
    <row r="206" spans="2:7" ht="19.95" customHeight="1" x14ac:dyDescent="0.45">
      <c r="D206" s="36"/>
      <c r="E206" s="106"/>
      <c r="F206" s="40"/>
      <c r="G206" s="39"/>
    </row>
    <row r="207" spans="2:7" ht="19.95" customHeight="1" x14ac:dyDescent="0.45">
      <c r="D207" s="47"/>
      <c r="E207" s="107"/>
      <c r="F207" s="42"/>
      <c r="G207" s="43"/>
    </row>
    <row r="208" spans="2:7" ht="19.95" customHeight="1" x14ac:dyDescent="0.45">
      <c r="B208" s="23">
        <f t="shared" ref="B208" si="43">B203+1</f>
        <v>41</v>
      </c>
      <c r="C208" s="24" t="str">
        <f t="shared" ref="C208" si="44">"ﾘｽﾄ!C"&amp;B208+2</f>
        <v>ﾘｽﾄ!C43</v>
      </c>
      <c r="D208" s="44" t="str">
        <f>IFERROR(VLOOKUP($B208,ﾘｽﾄ!A:B,2,FALSE),"")</f>
        <v>岡田常務</v>
      </c>
      <c r="E208" s="108"/>
      <c r="F208" s="46" t="str" cm="1">
        <f t="array" aca="1" ref="F208" ca="1">HYPERLINK(INDIRECT(C208),D208)</f>
        <v>岡田常務</v>
      </c>
      <c r="G208" s="45"/>
    </row>
    <row r="209" spans="2:7" ht="19.95" customHeight="1" x14ac:dyDescent="0.45">
      <c r="D209" s="36"/>
      <c r="E209" s="106"/>
      <c r="F209" s="40"/>
      <c r="G209" s="39"/>
    </row>
    <row r="210" spans="2:7" ht="19.95" customHeight="1" x14ac:dyDescent="0.45">
      <c r="D210" s="36"/>
      <c r="E210" s="106"/>
      <c r="F210" s="40"/>
      <c r="G210" s="39"/>
    </row>
    <row r="211" spans="2:7" ht="19.95" customHeight="1" x14ac:dyDescent="0.45">
      <c r="D211" s="36"/>
      <c r="E211" s="106"/>
      <c r="F211" s="40"/>
      <c r="G211" s="39"/>
    </row>
    <row r="212" spans="2:7" ht="19.95" customHeight="1" x14ac:dyDescent="0.45">
      <c r="D212" s="47"/>
      <c r="E212" s="107"/>
      <c r="F212" s="42"/>
      <c r="G212" s="43"/>
    </row>
    <row r="213" spans="2:7" ht="19.95" customHeight="1" x14ac:dyDescent="0.45">
      <c r="B213" s="23">
        <f t="shared" ref="B213" si="45">B208+1</f>
        <v>42</v>
      </c>
      <c r="C213" s="24" t="str">
        <f t="shared" ref="C213" si="46">"ﾘｽﾄ!C"&amp;B213+2</f>
        <v>ﾘｽﾄ!C44</v>
      </c>
      <c r="D213" s="44" t="str">
        <f>IFERROR(VLOOKUP($B213,ﾘｽﾄ!A:B,2,FALSE),"")</f>
        <v>加藤社長</v>
      </c>
      <c r="E213" s="108" t="s">
        <v>1416</v>
      </c>
      <c r="F213" s="46" t="str" cm="1">
        <f t="array" aca="1" ref="F213" ca="1">HYPERLINK(INDIRECT(C213),D213)</f>
        <v>加藤社長</v>
      </c>
      <c r="G213" s="45"/>
    </row>
    <row r="214" spans="2:7" ht="19.95" customHeight="1" x14ac:dyDescent="0.45">
      <c r="D214" s="36"/>
      <c r="E214" s="106" t="s">
        <v>1417</v>
      </c>
      <c r="F214" s="40"/>
      <c r="G214" s="39"/>
    </row>
    <row r="215" spans="2:7" ht="19.95" customHeight="1" x14ac:dyDescent="0.45">
      <c r="D215" s="36"/>
      <c r="E215" s="182" t="s">
        <v>1418</v>
      </c>
      <c r="F215" s="40"/>
      <c r="G215" s="39"/>
    </row>
    <row r="216" spans="2:7" ht="19.95" customHeight="1" x14ac:dyDescent="0.45">
      <c r="D216" s="36"/>
      <c r="E216" s="106" t="s">
        <v>1419</v>
      </c>
      <c r="F216" s="40"/>
      <c r="G216" s="39"/>
    </row>
    <row r="217" spans="2:7" ht="19.95" customHeight="1" thickBot="1" x14ac:dyDescent="0.5">
      <c r="D217" s="48"/>
      <c r="E217" s="109"/>
      <c r="F217" s="49"/>
      <c r="G217" s="50"/>
    </row>
    <row r="218" spans="2:7" x14ac:dyDescent="0.45">
      <c r="D218" s="111"/>
      <c r="E218" s="112"/>
      <c r="F218" s="113"/>
      <c r="G218" s="112"/>
    </row>
  </sheetData>
  <sheetProtection algorithmName="SHA-512" hashValue="wW8IhLKHkQLxRJbF/NcTj/DW5KKipXRV+rabuOYAP4/QGcSyJFt9EIcxxTbpwEym2OAregOtvnf6SX7WxVVouA==" saltValue="gbWG+g3I8MCw92PwGkFcBQ==" spinCount="100000" sheet="1" objects="1" scenarios="1"/>
  <phoneticPr fontId="1"/>
  <hyperlinks>
    <hyperlink ref="F1" location="ﾘｽﾄ!A1" display="格納先一覧はこちら" xr:uid="{D0EE420E-0942-4899-A89F-4430609E4919}"/>
    <hyperlink ref="G27" r:id="rId1" xr:uid="{CFADE850-5686-4BA4-B97F-992C7482EF41}"/>
    <hyperlink ref="G30" r:id="rId2" xr:uid="{9380E104-9CB9-4706-B786-C760F5B77419}"/>
    <hyperlink ref="G6" r:id="rId3" xr:uid="{BB2F1739-DE23-4B2C-8F1A-7A52F6BE43C9}"/>
  </hyperlinks>
  <printOptions horizontalCentered="1"/>
  <pageMargins left="0" right="0" top="0" bottom="0" header="0.31496062992125984" footer="0.31496062992125984"/>
  <pageSetup paperSize="8" scale="72" fitToHeight="3" orientation="portrait" horizontalDpi="1200" verticalDpi="1200" r:id="rId4"/>
  <rowBreaks count="2" manualBreakCount="2">
    <brk id="80" min="3" max="6" man="1"/>
    <brk id="146" min="3" max="6"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EB48D-CDDB-444E-B45F-915B9015B136}">
  <sheetPr codeName="Sheet15">
    <tabColor rgb="FFFFFF00"/>
  </sheetPr>
  <dimension ref="A1:G216"/>
  <sheetViews>
    <sheetView showGridLines="0" zoomScale="80" zoomScaleNormal="80" workbookViewId="0">
      <pane ySplit="4" topLeftCell="A5"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10</v>
      </c>
      <c r="E1" s="30" t="s">
        <v>7</v>
      </c>
      <c r="F1" s="51" t="s">
        <v>8</v>
      </c>
      <c r="G1" s="52" t="s">
        <v>9</v>
      </c>
    </row>
    <row r="2" spans="1:7" x14ac:dyDescent="0.45">
      <c r="A2" s="26" cm="1">
        <f t="array" aca="1" ref="A2" ca="1">VALUE(MID(CELL("filename",A2),FIND("]",CELL("filename",A2))+1,99))</f>
        <v>10</v>
      </c>
      <c r="B2" s="27"/>
      <c r="C2" s="28"/>
      <c r="D2" s="95" t="s">
        <v>10</v>
      </c>
      <c r="G2" s="101" t="s">
        <v>11</v>
      </c>
    </row>
    <row r="3" spans="1:7" ht="24.6" customHeight="1" thickBot="1" x14ac:dyDescent="0.5">
      <c r="A3" s="26"/>
      <c r="D3" s="93">
        <f>IFERROR(VLOOKUP($A$1,目次!$C$5:$I$100,5,FALSE),"")</f>
        <v>45457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724F66EF-2F0A-4F08-A530-15CB56A2F02E}"/>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12C79-F494-4102-9762-F8083B05A822}">
  <sheetPr codeName="Sheet16">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11</v>
      </c>
      <c r="E1" s="30" t="s">
        <v>7</v>
      </c>
      <c r="F1" s="51" t="s">
        <v>8</v>
      </c>
      <c r="G1" s="52" t="s">
        <v>9</v>
      </c>
    </row>
    <row r="2" spans="1:7" x14ac:dyDescent="0.45">
      <c r="A2" s="26" cm="1">
        <f t="array" aca="1" ref="A2" ca="1">VALUE(MID(CELL("filename",A2),FIND("]",CELL("filename",A2))+1,99))</f>
        <v>11</v>
      </c>
      <c r="B2" s="27"/>
      <c r="C2" s="28"/>
      <c r="D2" s="95" t="s">
        <v>10</v>
      </c>
      <c r="G2" s="101" t="s">
        <v>11</v>
      </c>
    </row>
    <row r="3" spans="1:7" ht="24.6" customHeight="1" thickBot="1" x14ac:dyDescent="0.5">
      <c r="A3" s="26"/>
      <c r="D3" s="93">
        <f>IFERROR(VLOOKUP($A$1,目次!$C$5:$I$100,5,FALSE),"")</f>
        <v>45464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582C850F-659D-4014-AF7B-43F18E5179A9}"/>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4FBAA-FEA3-4357-9541-C63873D8FE3D}">
  <sheetPr codeName="Sheet17">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12</v>
      </c>
      <c r="E1" s="30" t="s">
        <v>7</v>
      </c>
      <c r="F1" s="51" t="s">
        <v>8</v>
      </c>
      <c r="G1" s="52" t="s">
        <v>9</v>
      </c>
    </row>
    <row r="2" spans="1:7" x14ac:dyDescent="0.45">
      <c r="A2" s="26" cm="1">
        <f t="array" aca="1" ref="A2" ca="1">VALUE(MID(CELL("filename",A2),FIND("]",CELL("filename",A2))+1,99))</f>
        <v>12</v>
      </c>
      <c r="B2" s="27"/>
      <c r="C2" s="28"/>
      <c r="D2" s="95" t="s">
        <v>10</v>
      </c>
      <c r="G2" s="101" t="s">
        <v>11</v>
      </c>
    </row>
    <row r="3" spans="1:7" ht="24.6" customHeight="1" thickBot="1" x14ac:dyDescent="0.5">
      <c r="A3" s="26"/>
      <c r="D3" s="93">
        <f>IFERROR(VLOOKUP($A$1,目次!$C$5:$I$100,5,FALSE),"")</f>
        <v>45471</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AFE7B3FD-D04F-4A41-B2DB-0E1E52A7BAD3}"/>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7CAB-9930-4B1F-857A-DC409BEF6263}">
  <sheetPr codeName="Sheet18">
    <tabColor rgb="FFFFFF00"/>
  </sheetPr>
  <dimension ref="A1:G216"/>
  <sheetViews>
    <sheetView showGridLines="0" zoomScale="80" zoomScaleNormal="80" workbookViewId="0">
      <pane ySplit="4" topLeftCell="A147"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13</v>
      </c>
      <c r="E1" s="30" t="s">
        <v>7</v>
      </c>
      <c r="F1" s="51" t="s">
        <v>8</v>
      </c>
      <c r="G1" s="52" t="s">
        <v>9</v>
      </c>
    </row>
    <row r="2" spans="1:7" x14ac:dyDescent="0.45">
      <c r="A2" s="26" cm="1">
        <f t="array" aca="1" ref="A2" ca="1">VALUE(MID(CELL("filename",A2),FIND("]",CELL("filename",A2))+1,99))</f>
        <v>13</v>
      </c>
      <c r="B2" s="27"/>
      <c r="C2" s="28"/>
      <c r="D2" s="95" t="s">
        <v>10</v>
      </c>
      <c r="G2" s="101" t="s">
        <v>11</v>
      </c>
    </row>
    <row r="3" spans="1:7" ht="24.6" customHeight="1" thickBot="1" x14ac:dyDescent="0.5">
      <c r="A3" s="26"/>
      <c r="D3" s="93">
        <f>IFERROR(VLOOKUP($A$1,目次!$C$5:$I$100,5,FALSE),"")</f>
        <v>45478</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77487887-141D-4A0F-B19E-F20D73A8FFDB}"/>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93148-A9AF-41E9-A348-86D4FCDF06DB}">
  <sheetPr codeName="Sheet19">
    <tabColor rgb="FFFFFF00"/>
  </sheetPr>
  <dimension ref="A1:G216"/>
  <sheetViews>
    <sheetView showGridLines="0" zoomScale="80" zoomScaleNormal="80" workbookViewId="0">
      <pane ySplit="4" topLeftCell="A147"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14</v>
      </c>
      <c r="E1" s="30" t="s">
        <v>7</v>
      </c>
      <c r="F1" s="51" t="s">
        <v>8</v>
      </c>
      <c r="G1" s="52" t="s">
        <v>9</v>
      </c>
    </row>
    <row r="2" spans="1:7" x14ac:dyDescent="0.45">
      <c r="A2" s="26" cm="1">
        <f t="array" aca="1" ref="A2" ca="1">VALUE(MID(CELL("filename",A2),FIND("]",CELL("filename",A2))+1,99))</f>
        <v>14</v>
      </c>
      <c r="B2" s="27"/>
      <c r="C2" s="28"/>
      <c r="D2" s="95" t="s">
        <v>10</v>
      </c>
      <c r="G2" s="101" t="s">
        <v>11</v>
      </c>
    </row>
    <row r="3" spans="1:7" ht="24.6" customHeight="1" thickBot="1" x14ac:dyDescent="0.5">
      <c r="A3" s="26"/>
      <c r="D3" s="93">
        <f>IFERROR(VLOOKUP($A$1,目次!$C$5:$I$100,5,FALSE),"")</f>
        <v>45485</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7EA12FD9-8574-408B-9C07-BA5FBF37A7D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A27C7-76A9-4554-BA6F-59693E82088D}">
  <sheetPr codeName="Sheet20">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15</v>
      </c>
      <c r="E1" s="30" t="s">
        <v>7</v>
      </c>
      <c r="F1" s="51" t="s">
        <v>8</v>
      </c>
      <c r="G1" s="52" t="s">
        <v>9</v>
      </c>
    </row>
    <row r="2" spans="1:7" x14ac:dyDescent="0.45">
      <c r="A2" s="26" cm="1">
        <f t="array" aca="1" ref="A2" ca="1">VALUE(MID(CELL("filename",A2),FIND("]",CELL("filename",A2))+1,99))</f>
        <v>15</v>
      </c>
      <c r="B2" s="27"/>
      <c r="C2" s="28"/>
      <c r="D2" s="95" t="s">
        <v>10</v>
      </c>
      <c r="G2" s="101" t="s">
        <v>11</v>
      </c>
    </row>
    <row r="3" spans="1:7" ht="24.6" customHeight="1" thickBot="1" x14ac:dyDescent="0.5">
      <c r="A3" s="26"/>
      <c r="D3" s="93">
        <f>IFERROR(VLOOKUP($A$1,目次!$C$5:$I$100,5,FALSE),"")</f>
        <v>45492</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656DB3EC-2CDD-4DBA-8C75-09106CA89D2E}"/>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90495-3A86-4ABD-A110-EC5010D6A557}">
  <sheetPr codeName="Sheet21">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16</v>
      </c>
      <c r="E1" s="30" t="s">
        <v>7</v>
      </c>
      <c r="F1" s="51" t="s">
        <v>8</v>
      </c>
      <c r="G1" s="52" t="s">
        <v>9</v>
      </c>
    </row>
    <row r="2" spans="1:7" x14ac:dyDescent="0.45">
      <c r="A2" s="26" cm="1">
        <f t="array" aca="1" ref="A2" ca="1">VALUE(MID(CELL("filename",A2),FIND("]",CELL("filename",A2))+1,99))</f>
        <v>16</v>
      </c>
      <c r="B2" s="27"/>
      <c r="C2" s="28"/>
      <c r="D2" s="95" t="s">
        <v>10</v>
      </c>
      <c r="G2" s="101" t="s">
        <v>11</v>
      </c>
    </row>
    <row r="3" spans="1:7" ht="24.6" customHeight="1" thickBot="1" x14ac:dyDescent="0.5">
      <c r="A3" s="26"/>
      <c r="D3" s="93">
        <f>IFERROR(VLOOKUP($A$1,目次!$C$5:$I$100,5,FALSE),"")</f>
        <v>45499</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6"/>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D8297D2E-48DF-4533-9F43-B2B1554BFCC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26178-59D8-4016-8918-0DA9EEF025F5}">
  <sheetPr codeName="Sheet22">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17</v>
      </c>
      <c r="E1" s="30" t="s">
        <v>7</v>
      </c>
      <c r="F1" s="51" t="s">
        <v>8</v>
      </c>
      <c r="G1" s="52" t="s">
        <v>9</v>
      </c>
    </row>
    <row r="2" spans="1:7" x14ac:dyDescent="0.45">
      <c r="A2" s="26" cm="1">
        <f t="array" aca="1" ref="A2" ca="1">VALUE(MID(CELL("filename",A2),FIND("]",CELL("filename",A2))+1,99))</f>
        <v>17</v>
      </c>
      <c r="B2" s="27"/>
      <c r="C2" s="28"/>
      <c r="D2" s="95" t="s">
        <v>10</v>
      </c>
      <c r="G2" s="101" t="s">
        <v>11</v>
      </c>
    </row>
    <row r="3" spans="1:7" ht="24.6" customHeight="1" thickBot="1" x14ac:dyDescent="0.5">
      <c r="A3" s="26"/>
      <c r="D3" s="93">
        <f>IFERROR(VLOOKUP($A$1,目次!$C$5:$I$100,5,FALSE),"")</f>
        <v>45506</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DC179709-052D-4474-8556-1315076911D3}"/>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FA4CD-8A79-473E-A0CF-D1FD8F990751}">
  <sheetPr codeName="Sheet23">
    <tabColor rgb="FFFFFF00"/>
  </sheetPr>
  <dimension ref="A1:G216"/>
  <sheetViews>
    <sheetView showGridLines="0" zoomScale="80" zoomScaleNormal="80" workbookViewId="0">
      <pane ySplit="4" topLeftCell="A140"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18</v>
      </c>
      <c r="E1" s="30" t="s">
        <v>7</v>
      </c>
      <c r="F1" s="51" t="s">
        <v>8</v>
      </c>
      <c r="G1" s="52" t="s">
        <v>9</v>
      </c>
    </row>
    <row r="2" spans="1:7" x14ac:dyDescent="0.45">
      <c r="A2" s="26" cm="1">
        <f t="array" aca="1" ref="A2" ca="1">VALUE(MID(CELL("filename",A2),FIND("]",CELL("filename",A2))+1,99))</f>
        <v>18</v>
      </c>
      <c r="B2" s="27"/>
      <c r="C2" s="28"/>
      <c r="D2" s="95" t="s">
        <v>10</v>
      </c>
      <c r="G2" s="101" t="s">
        <v>11</v>
      </c>
    </row>
    <row r="3" spans="1:7" ht="24.6" customHeight="1" thickBot="1" x14ac:dyDescent="0.5">
      <c r="A3" s="26"/>
      <c r="D3" s="93">
        <f>IFERROR(VLOOKUP($A$1,目次!$C$5:$I$100,5,FALSE),"")</f>
        <v>45513</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1B0459C9-3F13-4CE1-A790-385A54307C18}"/>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4052A-2C1F-463F-9822-4D82E9F29FFE}">
  <sheetPr codeName="Sheet24">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19</v>
      </c>
      <c r="E1" s="30" t="s">
        <v>7</v>
      </c>
      <c r="F1" s="51" t="s">
        <v>8</v>
      </c>
      <c r="G1" s="52" t="s">
        <v>9</v>
      </c>
    </row>
    <row r="2" spans="1:7" x14ac:dyDescent="0.45">
      <c r="A2" s="26" cm="1">
        <f t="array" aca="1" ref="A2" ca="1">VALUE(MID(CELL("filename",A2),FIND("]",CELL("filename",A2))+1,99))</f>
        <v>19</v>
      </c>
      <c r="B2" s="27"/>
      <c r="C2" s="28"/>
      <c r="D2" s="95" t="s">
        <v>10</v>
      </c>
      <c r="G2" s="101" t="s">
        <v>11</v>
      </c>
    </row>
    <row r="3" spans="1:7" ht="24.6" customHeight="1" thickBot="1" x14ac:dyDescent="0.5">
      <c r="A3" s="26"/>
      <c r="D3" s="93">
        <f>IFERROR(VLOOKUP($A$1,目次!$C$5:$I$100,5,FALSE),"")</f>
        <v>45520</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5FCB6280-2BC0-4496-8814-D1F6AD661DC5}"/>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61182-6144-4224-8D0C-CD00C05164D9}">
  <sheetPr codeName="Sheet25">
    <tabColor rgb="FFFFFF00"/>
  </sheetPr>
  <dimension ref="A1:G216"/>
  <sheetViews>
    <sheetView showGridLines="0" zoomScale="80" zoomScaleNormal="80" workbookViewId="0">
      <pane ySplit="4" topLeftCell="A24"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20</v>
      </c>
      <c r="E1" s="30" t="s">
        <v>7</v>
      </c>
      <c r="F1" s="51" t="s">
        <v>8</v>
      </c>
      <c r="G1" s="52" t="s">
        <v>9</v>
      </c>
    </row>
    <row r="2" spans="1:7" x14ac:dyDescent="0.45">
      <c r="A2" s="26" cm="1">
        <f t="array" aca="1" ref="A2" ca="1">VALUE(MID(CELL("filename",A2),FIND("]",CELL("filename",A2))+1,99))</f>
        <v>20</v>
      </c>
      <c r="B2" s="27"/>
      <c r="C2" s="28"/>
      <c r="D2" s="95" t="s">
        <v>10</v>
      </c>
      <c r="G2" s="101" t="s">
        <v>11</v>
      </c>
    </row>
    <row r="3" spans="1:7" ht="24.6" customHeight="1" thickBot="1" x14ac:dyDescent="0.5">
      <c r="A3" s="26"/>
      <c r="D3" s="93">
        <f>IFERROR(VLOOKUP($A$1,目次!$C$5:$I$100,5,FALSE),"")</f>
        <v>45527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sheetProtection algorithmName="SHA-512" hashValue="U3kc7ZW9icm8MgAWWTHms555dzaimD8c4yPxjuscvch2YK6zt5c2xEvsxJFarZ7/IBzBo8Ne24ZTvfdRPUqgFg==" saltValue="LXOs6qhuFalmbRMJJwYsPg==" spinCount="100000" sheet="1" objects="1" scenarios="1"/>
  <phoneticPr fontId="1"/>
  <hyperlinks>
    <hyperlink ref="F1" location="ﾘｽﾄ!A1" display="格納先一覧はこちら" xr:uid="{71176301-F96F-4DF3-AE40-0CC56C2FAD8C}"/>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5FFC4-3AD5-446B-96AE-20C62CAF731C}">
  <sheetPr codeName="Sheet27">
    <tabColor rgb="FFFFFF00"/>
  </sheetPr>
  <dimension ref="A1:G216"/>
  <sheetViews>
    <sheetView showGridLines="0" zoomScale="80" zoomScaleNormal="80" workbookViewId="0">
      <pane ySplit="4" topLeftCell="A112"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21</v>
      </c>
      <c r="E1" s="30" t="s">
        <v>7</v>
      </c>
      <c r="F1" s="51" t="s">
        <v>8</v>
      </c>
      <c r="G1" s="52" t="s">
        <v>9</v>
      </c>
    </row>
    <row r="2" spans="1:7" x14ac:dyDescent="0.45">
      <c r="A2" s="26" cm="1">
        <f t="array" aca="1" ref="A2" ca="1">VALUE(MID(CELL("filename",A2),FIND("]",CELL("filename",A2))+1,99))</f>
        <v>21</v>
      </c>
      <c r="B2" s="27"/>
      <c r="C2" s="28"/>
      <c r="D2" s="95" t="s">
        <v>10</v>
      </c>
      <c r="G2" s="101" t="s">
        <v>11</v>
      </c>
    </row>
    <row r="3" spans="1:7" ht="24.6" customHeight="1" thickBot="1" x14ac:dyDescent="0.5">
      <c r="A3" s="26"/>
      <c r="D3" s="93">
        <f>IFERROR(VLOOKUP($A$1,目次!$C$5:$I$100,5,FALSE),"")</f>
        <v>45534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98E04487-5F9C-4EF2-94FC-E3E8A5D119F8}"/>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0A4C-EA48-468D-B663-09BF90CC96D2}">
  <sheetPr codeName="Sheet28">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22</v>
      </c>
      <c r="E1" s="30" t="s">
        <v>7</v>
      </c>
      <c r="F1" s="51" t="s">
        <v>8</v>
      </c>
      <c r="G1" s="52" t="s">
        <v>9</v>
      </c>
    </row>
    <row r="2" spans="1:7" x14ac:dyDescent="0.45">
      <c r="A2" s="26" cm="1">
        <f t="array" aca="1" ref="A2" ca="1">VALUE(MID(CELL("filename",A2),FIND("]",CELL("filename",A2))+1,99))</f>
        <v>22</v>
      </c>
      <c r="B2" s="27"/>
      <c r="C2" s="28"/>
      <c r="D2" s="95" t="s">
        <v>10</v>
      </c>
      <c r="G2" s="101" t="s">
        <v>11</v>
      </c>
    </row>
    <row r="3" spans="1:7" ht="24.6" customHeight="1" thickBot="1" x14ac:dyDescent="0.5">
      <c r="A3" s="26"/>
      <c r="D3" s="93">
        <f>IFERROR(VLOOKUP($A$1,目次!$C$5:$I$100,5,FALSE),"")</f>
        <v>45541</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7EDFDEB3-0DDB-4711-A07F-85C33BDD256C}"/>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AC3E9-5A4B-4B54-8168-21A9666C22E1}">
  <sheetPr codeName="Sheet29">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23</v>
      </c>
      <c r="E1" s="30" t="s">
        <v>7</v>
      </c>
      <c r="F1" s="51" t="s">
        <v>8</v>
      </c>
      <c r="G1" s="52" t="s">
        <v>9</v>
      </c>
    </row>
    <row r="2" spans="1:7" x14ac:dyDescent="0.45">
      <c r="A2" s="26" cm="1">
        <f t="array" aca="1" ref="A2" ca="1">VALUE(MID(CELL("filename",A2),FIND("]",CELL("filename",A2))+1,99))</f>
        <v>23</v>
      </c>
      <c r="B2" s="27"/>
      <c r="C2" s="28"/>
      <c r="D2" s="95" t="s">
        <v>10</v>
      </c>
      <c r="G2" s="101" t="s">
        <v>11</v>
      </c>
    </row>
    <row r="3" spans="1:7" ht="24.6" customHeight="1" thickBot="1" x14ac:dyDescent="0.5">
      <c r="A3" s="26"/>
      <c r="D3" s="93">
        <f>IFERROR(VLOOKUP($A$1,目次!$C$5:$I$100,5,FALSE),"")</f>
        <v>45548</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54D4CCD2-46EA-4765-9252-4170101CB39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A3CFF-4C65-4487-92C1-C5F6AE722A13}">
  <sheetPr codeName="Sheet30">
    <tabColor rgb="FFFFFF00"/>
  </sheetPr>
  <dimension ref="A1:G216"/>
  <sheetViews>
    <sheetView showGridLines="0" zoomScale="80" zoomScaleNormal="80" workbookViewId="0">
      <pane ySplit="4" topLeftCell="A140"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24</v>
      </c>
      <c r="E1" s="30" t="s">
        <v>7</v>
      </c>
      <c r="F1" s="51" t="s">
        <v>8</v>
      </c>
      <c r="G1" s="52" t="s">
        <v>9</v>
      </c>
    </row>
    <row r="2" spans="1:7" x14ac:dyDescent="0.45">
      <c r="A2" s="26" cm="1">
        <f t="array" aca="1" ref="A2" ca="1">VALUE(MID(CELL("filename",A2),FIND("]",CELL("filename",A2))+1,99))</f>
        <v>24</v>
      </c>
      <c r="B2" s="27"/>
      <c r="C2" s="28"/>
      <c r="D2" s="95" t="s">
        <v>10</v>
      </c>
      <c r="G2" s="101" t="s">
        <v>11</v>
      </c>
    </row>
    <row r="3" spans="1:7" ht="24.6" customHeight="1" thickBot="1" x14ac:dyDescent="0.5">
      <c r="A3" s="26"/>
      <c r="D3" s="93">
        <f>IFERROR(VLOOKUP($A$1,目次!$C$5:$I$100,5,FALSE),"")</f>
        <v>45555</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8CA3B54E-E5D0-4BF4-A06F-6C6820BCCEC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1A5E3-A7B4-4D2D-9621-D4301593B92A}">
  <sheetPr codeName="Sheet31">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25</v>
      </c>
      <c r="E1" s="30" t="s">
        <v>7</v>
      </c>
      <c r="F1" s="51" t="s">
        <v>8</v>
      </c>
      <c r="G1" s="52" t="s">
        <v>9</v>
      </c>
    </row>
    <row r="2" spans="1:7" x14ac:dyDescent="0.45">
      <c r="A2" s="26" cm="1">
        <f t="array" aca="1" ref="A2" ca="1">VALUE(MID(CELL("filename",A2),FIND("]",CELL("filename",A2))+1,99))</f>
        <v>25</v>
      </c>
      <c r="B2" s="27"/>
      <c r="C2" s="28"/>
      <c r="D2" s="95" t="s">
        <v>10</v>
      </c>
      <c r="G2" s="101" t="s">
        <v>11</v>
      </c>
    </row>
    <row r="3" spans="1:7" ht="24.6" customHeight="1" thickBot="1" x14ac:dyDescent="0.5">
      <c r="A3" s="26"/>
      <c r="D3" s="93">
        <f>IFERROR(VLOOKUP($A$1,目次!$C$5:$I$100,5,FALSE),"")</f>
        <v>45562</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74ED668D-BBF2-463A-8124-1EBAE7C5D0C8}"/>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7C85C-B6E8-4168-AFBF-CB16B3543D38}">
  <sheetPr codeName="Sheet32">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26</v>
      </c>
      <c r="E1" s="30" t="s">
        <v>7</v>
      </c>
      <c r="F1" s="51" t="s">
        <v>8</v>
      </c>
      <c r="G1" s="52" t="s">
        <v>9</v>
      </c>
    </row>
    <row r="2" spans="1:7" x14ac:dyDescent="0.45">
      <c r="A2" s="26" cm="1">
        <f t="array" aca="1" ref="A2" ca="1">VALUE(MID(CELL("filename",A2),FIND("]",CELL("filename",A2))+1,99))</f>
        <v>26</v>
      </c>
      <c r="B2" s="27"/>
      <c r="C2" s="28"/>
      <c r="D2" s="95" t="s">
        <v>10</v>
      </c>
      <c r="G2" s="101" t="s">
        <v>11</v>
      </c>
    </row>
    <row r="3" spans="1:7" ht="24.6" customHeight="1" thickBot="1" x14ac:dyDescent="0.5">
      <c r="A3" s="26"/>
      <c r="D3" s="93">
        <f>IFERROR(VLOOKUP($A$1,目次!$C$5:$I$100,5,FALSE),"")</f>
        <v>45569</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69C87B52-9390-4560-9374-9804F93B0BA0}"/>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2E026-3086-4FC4-B4A4-6371DED67B3E}">
  <sheetPr codeName="Sheet33">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27</v>
      </c>
      <c r="E1" s="30" t="s">
        <v>7</v>
      </c>
      <c r="F1" s="51" t="s">
        <v>8</v>
      </c>
      <c r="G1" s="52" t="s">
        <v>9</v>
      </c>
    </row>
    <row r="2" spans="1:7" x14ac:dyDescent="0.45">
      <c r="A2" s="26" cm="1">
        <f t="array" aca="1" ref="A2" ca="1">VALUE(MID(CELL("filename",A2),FIND("]",CELL("filename",A2))+1,99))</f>
        <v>27</v>
      </c>
      <c r="B2" s="27"/>
      <c r="C2" s="28"/>
      <c r="D2" s="95" t="s">
        <v>10</v>
      </c>
      <c r="G2" s="101" t="s">
        <v>11</v>
      </c>
    </row>
    <row r="3" spans="1:7" ht="24.6" customHeight="1" thickBot="1" x14ac:dyDescent="0.5">
      <c r="A3" s="26"/>
      <c r="D3" s="93">
        <f>IFERROR(VLOOKUP($A$1,目次!$C$5:$I$100,5,FALSE),"")</f>
        <v>45576</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E976BDCD-4C08-424B-8266-99263EF4ED5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BDD75-0481-4781-93E4-FBA5D43FD2FD}">
  <sheetPr codeName="Sheet34">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28</v>
      </c>
      <c r="E1" s="30" t="s">
        <v>7</v>
      </c>
      <c r="F1" s="51" t="s">
        <v>8</v>
      </c>
      <c r="G1" s="52" t="s">
        <v>9</v>
      </c>
    </row>
    <row r="2" spans="1:7" x14ac:dyDescent="0.45">
      <c r="A2" s="26" cm="1">
        <f t="array" aca="1" ref="A2" ca="1">VALUE(MID(CELL("filename",A2),FIND("]",CELL("filename",A2))+1,99))</f>
        <v>28</v>
      </c>
      <c r="B2" s="27"/>
      <c r="C2" s="28"/>
      <c r="D2" s="95" t="s">
        <v>10</v>
      </c>
      <c r="G2" s="101" t="s">
        <v>11</v>
      </c>
    </row>
    <row r="3" spans="1:7" ht="24.6" customHeight="1" thickBot="1" x14ac:dyDescent="0.5">
      <c r="A3" s="26"/>
      <c r="D3" s="93">
        <f>IFERROR(VLOOKUP($A$1,目次!$C$5:$I$100,5,FALSE),"")</f>
        <v>45583</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4B4A2E0B-EB0B-4272-93C1-87D6BD6FE39D}"/>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0E1E-421C-4580-B7F5-540AECB9F3BF}">
  <sheetPr codeName="Sheet35">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29</v>
      </c>
      <c r="E1" s="30" t="s">
        <v>7</v>
      </c>
      <c r="F1" s="51" t="s">
        <v>8</v>
      </c>
      <c r="G1" s="52" t="s">
        <v>9</v>
      </c>
    </row>
    <row r="2" spans="1:7" x14ac:dyDescent="0.45">
      <c r="A2" s="26" cm="1">
        <f t="array" aca="1" ref="A2" ca="1">VALUE(MID(CELL("filename",A2),FIND("]",CELL("filename",A2))+1,99))</f>
        <v>29</v>
      </c>
      <c r="B2" s="27"/>
      <c r="C2" s="28"/>
      <c r="D2" s="95" t="s">
        <v>10</v>
      </c>
      <c r="G2" s="101" t="s">
        <v>11</v>
      </c>
    </row>
    <row r="3" spans="1:7" ht="24.6" customHeight="1" thickBot="1" x14ac:dyDescent="0.5">
      <c r="A3" s="26"/>
      <c r="D3" s="93">
        <f>IFERROR(VLOOKUP($A$1,目次!$C$5:$I$100,5,FALSE),"")</f>
        <v>45590</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E52469A1-69FC-431A-956D-544378F086F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EAB2D-4CC5-436F-8DDC-D059FD5BDB67}">
  <sheetPr codeName="Sheet36">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30</v>
      </c>
      <c r="E1" s="30" t="s">
        <v>7</v>
      </c>
      <c r="F1" s="51" t="s">
        <v>8</v>
      </c>
      <c r="G1" s="52" t="s">
        <v>9</v>
      </c>
    </row>
    <row r="2" spans="1:7" x14ac:dyDescent="0.45">
      <c r="A2" s="26" cm="1">
        <f t="array" aca="1" ref="A2" ca="1">VALUE(MID(CELL("filename",A2),FIND("]",CELL("filename",A2))+1,99))</f>
        <v>30</v>
      </c>
      <c r="B2" s="27"/>
      <c r="C2" s="28"/>
      <c r="D2" s="95" t="s">
        <v>10</v>
      </c>
      <c r="G2" s="101" t="s">
        <v>11</v>
      </c>
    </row>
    <row r="3" spans="1:7" ht="24.6" customHeight="1" thickBot="1" x14ac:dyDescent="0.5">
      <c r="A3" s="26"/>
      <c r="D3" s="93">
        <f>IFERROR(VLOOKUP($A$1,目次!$C$5:$I$100,5,FALSE),"")</f>
        <v>45597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89DC4D13-0CD4-47BA-80DE-B84035E7784E}"/>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EFDF-B09E-46A2-BBCD-D92E4777C37D}">
  <sheetPr codeName="Sheet37">
    <tabColor rgb="FFFFFF00"/>
  </sheetPr>
  <dimension ref="A1:G216"/>
  <sheetViews>
    <sheetView showGridLines="0" zoomScale="80" zoomScaleNormal="80" workbookViewId="0">
      <pane ySplit="4" topLeftCell="A147"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31</v>
      </c>
      <c r="E1" s="30" t="s">
        <v>7</v>
      </c>
      <c r="F1" s="51" t="s">
        <v>8</v>
      </c>
      <c r="G1" s="52" t="s">
        <v>9</v>
      </c>
    </row>
    <row r="2" spans="1:7" x14ac:dyDescent="0.45">
      <c r="A2" s="26" cm="1">
        <f t="array" aca="1" ref="A2" ca="1">VALUE(MID(CELL("filename",A2),FIND("]",CELL("filename",A2))+1,99))</f>
        <v>31</v>
      </c>
      <c r="B2" s="27"/>
      <c r="C2" s="28"/>
      <c r="D2" s="95" t="s">
        <v>10</v>
      </c>
      <c r="G2" s="101" t="s">
        <v>11</v>
      </c>
    </row>
    <row r="3" spans="1:7" ht="24.6" customHeight="1" thickBot="1" x14ac:dyDescent="0.5">
      <c r="A3" s="26"/>
      <c r="D3" s="93">
        <f>IFERROR(VLOOKUP($A$1,目次!$C$5:$I$100,5,FALSE),"")</f>
        <v>45604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2DDC6C70-C277-4DF6-9390-B540E929DA7E}"/>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441E-1660-4273-97ED-AC96C39EA0F6}">
  <sheetPr codeName="Sheet38">
    <tabColor rgb="FFFFFF00"/>
  </sheetPr>
  <dimension ref="A1:G216"/>
  <sheetViews>
    <sheetView showGridLines="0" zoomScale="80" zoomScaleNormal="80" workbookViewId="0">
      <pane ySplit="4" topLeftCell="A147"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32</v>
      </c>
      <c r="E1" s="30" t="s">
        <v>7</v>
      </c>
      <c r="F1" s="51" t="s">
        <v>8</v>
      </c>
      <c r="G1" s="52" t="s">
        <v>9</v>
      </c>
    </row>
    <row r="2" spans="1:7" x14ac:dyDescent="0.45">
      <c r="A2" s="26" cm="1">
        <f t="array" aca="1" ref="A2" ca="1">VALUE(MID(CELL("filename",A2),FIND("]",CELL("filename",A2))+1,99))</f>
        <v>32</v>
      </c>
      <c r="B2" s="27"/>
      <c r="C2" s="28"/>
      <c r="D2" s="95" t="s">
        <v>10</v>
      </c>
      <c r="G2" s="101" t="s">
        <v>11</v>
      </c>
    </row>
    <row r="3" spans="1:7" ht="24.6" customHeight="1" thickBot="1" x14ac:dyDescent="0.5">
      <c r="A3" s="26"/>
      <c r="D3" s="93">
        <f>IFERROR(VLOOKUP($A$1,目次!$C$5:$I$100,5,FALSE),"")</f>
        <v>45611</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963EB79D-C6D5-49E9-9EBF-6052D80962D1}"/>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BBF6B-9543-4F47-94D8-BCA282039409}">
  <sheetPr codeName="Sheet39">
    <tabColor rgb="FFFFFF00"/>
  </sheetPr>
  <dimension ref="A1:G216"/>
  <sheetViews>
    <sheetView showGridLines="0" zoomScale="80" zoomScaleNormal="80" workbookViewId="0">
      <pane ySplit="4" topLeftCell="A147"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33</v>
      </c>
      <c r="E1" s="30" t="s">
        <v>7</v>
      </c>
      <c r="F1" s="51" t="s">
        <v>8</v>
      </c>
      <c r="G1" s="52" t="s">
        <v>9</v>
      </c>
    </row>
    <row r="2" spans="1:7" x14ac:dyDescent="0.45">
      <c r="A2" s="26" cm="1">
        <f t="array" aca="1" ref="A2" ca="1">VALUE(MID(CELL("filename",A2),FIND("]",CELL("filename",A2))+1,99))</f>
        <v>33</v>
      </c>
      <c r="B2" s="27"/>
      <c r="C2" s="28"/>
      <c r="D2" s="95" t="s">
        <v>10</v>
      </c>
      <c r="G2" s="101" t="s">
        <v>11</v>
      </c>
    </row>
    <row r="3" spans="1:7" ht="24.6" customHeight="1" thickBot="1" x14ac:dyDescent="0.5">
      <c r="A3" s="26"/>
      <c r="D3" s="93">
        <f>IFERROR(VLOOKUP($A$1,目次!$C$5:$I$100,5,FALSE),"")</f>
        <v>45618</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134C6AB1-7660-4E1C-8CC8-09398267CCAC}"/>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DC45E-1803-4DA6-A599-0A27D75311D5}">
  <sheetPr codeName="Sheet40">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34</v>
      </c>
      <c r="E1" s="30" t="s">
        <v>7</v>
      </c>
      <c r="F1" s="51" t="s">
        <v>8</v>
      </c>
      <c r="G1" s="52" t="s">
        <v>9</v>
      </c>
    </row>
    <row r="2" spans="1:7" x14ac:dyDescent="0.45">
      <c r="A2" s="26" cm="1">
        <f t="array" aca="1" ref="A2" ca="1">VALUE(MID(CELL("filename",A2),FIND("]",CELL("filename",A2))+1,99))</f>
        <v>34</v>
      </c>
      <c r="B2" s="27"/>
      <c r="C2" s="28"/>
      <c r="D2" s="95" t="s">
        <v>10</v>
      </c>
      <c r="G2" s="101" t="s">
        <v>11</v>
      </c>
    </row>
    <row r="3" spans="1:7" ht="24.6" customHeight="1" thickBot="1" x14ac:dyDescent="0.5">
      <c r="A3" s="26"/>
      <c r="D3" s="93">
        <f>IFERROR(VLOOKUP($A$1,目次!$C$5:$I$100,5,FALSE),"")</f>
        <v>45625</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F34B3E3E-7CE3-4FFB-A0DC-41C65ACB58C4}"/>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09CD9-5511-46C5-BC7A-84B0C5866889}">
  <sheetPr codeName="Sheet41">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35</v>
      </c>
      <c r="E1" s="30" t="s">
        <v>7</v>
      </c>
      <c r="F1" s="51" t="s">
        <v>8</v>
      </c>
      <c r="G1" s="52" t="s">
        <v>9</v>
      </c>
    </row>
    <row r="2" spans="1:7" x14ac:dyDescent="0.45">
      <c r="A2" s="26" cm="1">
        <f t="array" aca="1" ref="A2" ca="1">VALUE(MID(CELL("filename",A2),FIND("]",CELL("filename",A2))+1,99))</f>
        <v>35</v>
      </c>
      <c r="B2" s="27"/>
      <c r="C2" s="28"/>
      <c r="D2" s="95" t="s">
        <v>10</v>
      </c>
      <c r="G2" s="101" t="s">
        <v>11</v>
      </c>
    </row>
    <row r="3" spans="1:7" ht="24.6" customHeight="1" thickBot="1" x14ac:dyDescent="0.5">
      <c r="A3" s="26"/>
      <c r="D3" s="93">
        <f>IFERROR(VLOOKUP($A$1,目次!$C$5:$I$100,5,FALSE),"")</f>
        <v>45632</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5FAF0696-5AF7-4313-A6D1-EE0DE7293CF6}"/>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EB30-632D-4FD9-8EE5-9E9C07F5754A}">
  <sheetPr codeName="Sheet42">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36</v>
      </c>
      <c r="E1" s="30" t="s">
        <v>7</v>
      </c>
      <c r="F1" s="51" t="s">
        <v>8</v>
      </c>
      <c r="G1" s="52" t="s">
        <v>9</v>
      </c>
    </row>
    <row r="2" spans="1:7" x14ac:dyDescent="0.45">
      <c r="A2" s="26" cm="1">
        <f t="array" aca="1" ref="A2" ca="1">VALUE(MID(CELL("filename",A2),FIND("]",CELL("filename",A2))+1,99))</f>
        <v>36</v>
      </c>
      <c r="B2" s="27"/>
      <c r="C2" s="28"/>
      <c r="D2" s="95" t="s">
        <v>10</v>
      </c>
      <c r="G2" s="101" t="s">
        <v>11</v>
      </c>
    </row>
    <row r="3" spans="1:7" ht="24.6" customHeight="1" thickBot="1" x14ac:dyDescent="0.5">
      <c r="A3" s="26"/>
      <c r="D3" s="93">
        <f>IFERROR(VLOOKUP($A$1,目次!$C$5:$I$100,5,FALSE),"")</f>
        <v>45639</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9A5E6F58-3AE3-4F36-BBC9-A01F0821FF39}"/>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2D643-18C3-4E6C-BBE0-A7759B978C74}">
  <sheetPr codeName="Sheet43">
    <tabColor rgb="FFFFFF00"/>
  </sheetPr>
  <dimension ref="A1:G216"/>
  <sheetViews>
    <sheetView showGridLines="0" zoomScale="80" zoomScaleNormal="80" workbookViewId="0">
      <pane ySplit="4" topLeftCell="A144"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37</v>
      </c>
      <c r="E1" s="30" t="s">
        <v>7</v>
      </c>
      <c r="F1" s="51" t="s">
        <v>8</v>
      </c>
      <c r="G1" s="52" t="s">
        <v>9</v>
      </c>
    </row>
    <row r="2" spans="1:7" x14ac:dyDescent="0.45">
      <c r="A2" s="26" cm="1">
        <f t="array" aca="1" ref="A2" ca="1">VALUE(MID(CELL("filename",A2),FIND("]",CELL("filename",A2))+1,99))</f>
        <v>37</v>
      </c>
      <c r="B2" s="27"/>
      <c r="C2" s="28"/>
      <c r="D2" s="95" t="s">
        <v>10</v>
      </c>
      <c r="G2" s="101" t="s">
        <v>11</v>
      </c>
    </row>
    <row r="3" spans="1:7" ht="24.6" customHeight="1" thickBot="1" x14ac:dyDescent="0.5">
      <c r="A3" s="26"/>
      <c r="D3" s="93">
        <f>IFERROR(VLOOKUP($A$1,目次!$C$5:$I$100,5,FALSE),"")</f>
        <v>45646</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A9E0C218-E745-4760-8220-BD7D6E2FC42C}"/>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2BBA0-E0E6-43F7-B438-4D053A1E91E9}">
  <sheetPr codeName="Sheet44">
    <tabColor rgb="FFFFFF00"/>
  </sheetPr>
  <dimension ref="A1:G216"/>
  <sheetViews>
    <sheetView showGridLines="0" zoomScale="80" zoomScaleNormal="80" workbookViewId="0">
      <pane ySplit="4" topLeftCell="A140"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38</v>
      </c>
      <c r="E1" s="30" t="s">
        <v>7</v>
      </c>
      <c r="F1" s="51" t="s">
        <v>8</v>
      </c>
      <c r="G1" s="52" t="s">
        <v>9</v>
      </c>
    </row>
    <row r="2" spans="1:7" x14ac:dyDescent="0.45">
      <c r="A2" s="26" cm="1">
        <f t="array" aca="1" ref="A2" ca="1">VALUE(MID(CELL("filename",A2),FIND("]",CELL("filename",A2))+1,99))</f>
        <v>38</v>
      </c>
      <c r="B2" s="27"/>
      <c r="C2" s="28"/>
      <c r="D2" s="95" t="s">
        <v>10</v>
      </c>
      <c r="G2" s="101" t="s">
        <v>11</v>
      </c>
    </row>
    <row r="3" spans="1:7" ht="24.6" customHeight="1" thickBot="1" x14ac:dyDescent="0.5">
      <c r="A3" s="26"/>
      <c r="D3" s="93">
        <f>IFERROR(VLOOKUP($A$1,目次!$C$5:$I$100,5,FALSE),"")</f>
        <v>45653</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661FACA7-7D63-4595-A078-8AFF4FA5F1CB}"/>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B34DA-9F36-4303-8A3F-21AFC4583642}">
  <sheetPr codeName="Sheet45">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39</v>
      </c>
      <c r="E1" s="30" t="s">
        <v>7</v>
      </c>
      <c r="F1" s="51" t="s">
        <v>8</v>
      </c>
      <c r="G1" s="52" t="s">
        <v>9</v>
      </c>
    </row>
    <row r="2" spans="1:7" x14ac:dyDescent="0.45">
      <c r="A2" s="26" cm="1">
        <f t="array" aca="1" ref="A2" ca="1">VALUE(MID(CELL("filename",A2),FIND("]",CELL("filename",A2))+1,99))</f>
        <v>39</v>
      </c>
      <c r="B2" s="27"/>
      <c r="C2" s="28"/>
      <c r="D2" s="95" t="s">
        <v>10</v>
      </c>
      <c r="G2" s="101" t="s">
        <v>11</v>
      </c>
    </row>
    <row r="3" spans="1:7" ht="24.6" customHeight="1" thickBot="1" x14ac:dyDescent="0.5">
      <c r="A3" s="26"/>
      <c r="D3" s="93">
        <f>IFERROR(VLOOKUP($A$1,目次!$C$5:$I$100,5,FALSE),"")</f>
        <v>45667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08A5AE28-085A-4D24-9BB8-CFDF1E7F9B76}"/>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ADD4F-5D8E-4C94-BE47-A9834C65E337}">
  <sheetPr codeName="Sheet46">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40</v>
      </c>
      <c r="E1" s="30" t="s">
        <v>7</v>
      </c>
      <c r="F1" s="51" t="s">
        <v>8</v>
      </c>
      <c r="G1" s="52" t="s">
        <v>9</v>
      </c>
    </row>
    <row r="2" spans="1:7" x14ac:dyDescent="0.45">
      <c r="A2" s="26" cm="1">
        <f t="array" aca="1" ref="A2" ca="1">VALUE(MID(CELL("filename",A2),FIND("]",CELL("filename",A2))+1,99))</f>
        <v>40</v>
      </c>
      <c r="B2" s="27"/>
      <c r="C2" s="28"/>
      <c r="D2" s="95" t="s">
        <v>10</v>
      </c>
      <c r="G2" s="101" t="s">
        <v>11</v>
      </c>
    </row>
    <row r="3" spans="1:7" ht="24.6" customHeight="1" thickBot="1" x14ac:dyDescent="0.5">
      <c r="A3" s="26"/>
      <c r="D3" s="93">
        <f>IFERROR(VLOOKUP($A$1,目次!$C$5:$I$100,5,FALSE),"")</f>
        <v>45674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D7760F79-6757-4CD8-B292-54595B83E320}"/>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FA952-5607-4262-8352-9A07AEF177AF}">
  <sheetPr codeName="Sheet47">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41</v>
      </c>
      <c r="E1" s="30" t="s">
        <v>7</v>
      </c>
      <c r="F1" s="51" t="s">
        <v>8</v>
      </c>
      <c r="G1" s="52" t="s">
        <v>9</v>
      </c>
    </row>
    <row r="2" spans="1:7" x14ac:dyDescent="0.45">
      <c r="A2" s="26" cm="1">
        <f t="array" aca="1" ref="A2" ca="1">VALUE(MID(CELL("filename",A2),FIND("]",CELL("filename",A2))+1,99))</f>
        <v>41</v>
      </c>
      <c r="B2" s="27"/>
      <c r="C2" s="28"/>
      <c r="D2" s="95" t="s">
        <v>10</v>
      </c>
      <c r="G2" s="101" t="s">
        <v>11</v>
      </c>
    </row>
    <row r="3" spans="1:7" ht="24.6" customHeight="1" thickBot="1" x14ac:dyDescent="0.5">
      <c r="A3" s="26"/>
      <c r="D3" s="93">
        <f>IFERROR(VLOOKUP($A$1,目次!$C$5:$I$100,5,FALSE),"")</f>
        <v>45681</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0761D9EB-A1B8-4381-BB32-22B5339CBC40}"/>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D6DBC-4B5A-45CE-95CB-A4366C022401}">
  <sheetPr codeName="Sheet48">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42</v>
      </c>
      <c r="E1" s="30" t="s">
        <v>7</v>
      </c>
      <c r="F1" s="51" t="s">
        <v>8</v>
      </c>
      <c r="G1" s="52" t="s">
        <v>9</v>
      </c>
    </row>
    <row r="2" spans="1:7" x14ac:dyDescent="0.45">
      <c r="A2" s="26" cm="1">
        <f t="array" aca="1" ref="A2" ca="1">VALUE(MID(CELL("filename",A2),FIND("]",CELL("filename",A2))+1,99))</f>
        <v>42</v>
      </c>
      <c r="B2" s="27"/>
      <c r="C2" s="28"/>
      <c r="D2" s="95" t="s">
        <v>10</v>
      </c>
      <c r="G2" s="101" t="s">
        <v>11</v>
      </c>
    </row>
    <row r="3" spans="1:7" ht="24.6" customHeight="1" thickBot="1" x14ac:dyDescent="0.5">
      <c r="A3" s="26"/>
      <c r="D3" s="93">
        <f>IFERROR(VLOOKUP($A$1,目次!$C$5:$I$100,5,FALSE),"")</f>
        <v>45688</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6EFF8B6E-F00C-4255-A616-7875AEFFA372}"/>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AE5A9-B484-4B6A-83D4-0FF8100C5477}">
  <sheetPr codeName="Sheet49">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43</v>
      </c>
      <c r="E1" s="30" t="s">
        <v>7</v>
      </c>
      <c r="F1" s="51" t="s">
        <v>8</v>
      </c>
      <c r="G1" s="52" t="s">
        <v>9</v>
      </c>
    </row>
    <row r="2" spans="1:7" x14ac:dyDescent="0.45">
      <c r="A2" s="26" cm="1">
        <f t="array" aca="1" ref="A2" ca="1">VALUE(MID(CELL("filename",A2),FIND("]",CELL("filename",A2))+1,99))</f>
        <v>43</v>
      </c>
      <c r="B2" s="27"/>
      <c r="C2" s="28"/>
      <c r="D2" s="95" t="s">
        <v>10</v>
      </c>
      <c r="G2" s="101" t="s">
        <v>11</v>
      </c>
    </row>
    <row r="3" spans="1:7" ht="24.6" customHeight="1" thickBot="1" x14ac:dyDescent="0.5">
      <c r="A3" s="26"/>
      <c r="D3" s="93">
        <f>IFERROR(VLOOKUP($A$1,目次!$C$5:$I$100,5,FALSE),"")</f>
        <v>45695</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9E296072-33FB-43A5-9896-DB2C6DC1A4B9}"/>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BF931-80F4-4FEC-83C9-553F80BE8D3D}">
  <sheetPr codeName="Sheet50">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44</v>
      </c>
      <c r="E1" s="30" t="s">
        <v>7</v>
      </c>
      <c r="F1" s="51" t="s">
        <v>8</v>
      </c>
      <c r="G1" s="52" t="s">
        <v>9</v>
      </c>
    </row>
    <row r="2" spans="1:7" x14ac:dyDescent="0.45">
      <c r="A2" s="26" cm="1">
        <f t="array" aca="1" ref="A2" ca="1">VALUE(MID(CELL("filename",A2),FIND("]",CELL("filename",A2))+1,99))</f>
        <v>44</v>
      </c>
      <c r="B2" s="27"/>
      <c r="C2" s="28"/>
      <c r="D2" s="95" t="s">
        <v>10</v>
      </c>
      <c r="G2" s="101" t="s">
        <v>11</v>
      </c>
    </row>
    <row r="3" spans="1:7" ht="24.6" customHeight="1" thickBot="1" x14ac:dyDescent="0.5">
      <c r="A3" s="26"/>
      <c r="D3" s="93">
        <f>IFERROR(VLOOKUP($A$1,目次!$C$5:$I$100,5,FALSE),"")</f>
        <v>45702</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39992D1B-B26E-4BB4-9EA6-FB13A0C4FEF3}"/>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3649B-FE64-4EA7-9E21-9DE946B70005}">
  <sheetPr codeName="Sheet51">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45</v>
      </c>
      <c r="E1" s="30" t="s">
        <v>7</v>
      </c>
      <c r="F1" s="51" t="s">
        <v>8</v>
      </c>
      <c r="G1" s="52" t="s">
        <v>9</v>
      </c>
    </row>
    <row r="2" spans="1:7" x14ac:dyDescent="0.45">
      <c r="A2" s="26" cm="1">
        <f t="array" aca="1" ref="A2" ca="1">VALUE(MID(CELL("filename",A2),FIND("]",CELL("filename",A2))+1,99))</f>
        <v>45</v>
      </c>
      <c r="B2" s="27"/>
      <c r="C2" s="28"/>
      <c r="D2" s="95" t="s">
        <v>10</v>
      </c>
      <c r="G2" s="101" t="s">
        <v>11</v>
      </c>
    </row>
    <row r="3" spans="1:7" ht="24.6" customHeight="1" thickBot="1" x14ac:dyDescent="0.5">
      <c r="A3" s="26"/>
      <c r="D3" s="93">
        <f>IFERROR(VLOOKUP($A$1,目次!$C$5:$I$100,5,FALSE),"")</f>
        <v>45709</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8BA2196C-A202-47AC-BD24-1EFB4FE0FD61}"/>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731A-92EC-4A2B-9707-4ADE74EE6E94}">
  <sheetPr codeName="Sheet52">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46</v>
      </c>
      <c r="E1" s="30" t="s">
        <v>7</v>
      </c>
      <c r="F1" s="51" t="s">
        <v>8</v>
      </c>
      <c r="G1" s="52" t="s">
        <v>9</v>
      </c>
    </row>
    <row r="2" spans="1:7" x14ac:dyDescent="0.45">
      <c r="A2" s="26" cm="1">
        <f t="array" aca="1" ref="A2" ca="1">VALUE(MID(CELL("filename",A2),FIND("]",CELL("filename",A2))+1,99))</f>
        <v>46</v>
      </c>
      <c r="B2" s="27"/>
      <c r="C2" s="28"/>
      <c r="D2" s="95" t="s">
        <v>10</v>
      </c>
      <c r="G2" s="101" t="s">
        <v>11</v>
      </c>
    </row>
    <row r="3" spans="1:7" ht="24.6" customHeight="1" thickBot="1" x14ac:dyDescent="0.5">
      <c r="A3" s="26"/>
      <c r="D3" s="93">
        <f>IFERROR(VLOOKUP($A$1,目次!$C$5:$I$100,5,FALSE),"")</f>
        <v>45716</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32471565-1DB7-44CD-BDFA-D1ABCF808C9F}"/>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98C9A-4DDE-4543-81A4-57AD09891C4A}">
  <sheetPr codeName="Sheet53">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47</v>
      </c>
      <c r="E1" s="30" t="s">
        <v>7</v>
      </c>
      <c r="F1" s="51" t="s">
        <v>8</v>
      </c>
      <c r="G1" s="52" t="s">
        <v>9</v>
      </c>
    </row>
    <row r="2" spans="1:7" x14ac:dyDescent="0.45">
      <c r="A2" s="26" cm="1">
        <f t="array" aca="1" ref="A2" ca="1">VALUE(MID(CELL("filename",A2),FIND("]",CELL("filename",A2))+1,99))</f>
        <v>47</v>
      </c>
      <c r="B2" s="27"/>
      <c r="C2" s="28"/>
      <c r="D2" s="95" t="s">
        <v>10</v>
      </c>
      <c r="G2" s="101" t="s">
        <v>11</v>
      </c>
    </row>
    <row r="3" spans="1:7" ht="24.6" customHeight="1" thickBot="1" x14ac:dyDescent="0.5">
      <c r="A3" s="26"/>
      <c r="D3" s="93">
        <f>IFERROR(VLOOKUP($A$1,目次!$C$5:$I$100,5,FALSE),"")</f>
        <v>45723</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D2304ABA-1601-48E0-9992-CF88DAF5F836}"/>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6AA7-F32E-4B0A-BFC7-655EDE755FDC}">
  <sheetPr codeName="Sheet54">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48</v>
      </c>
      <c r="E1" s="30" t="s">
        <v>7</v>
      </c>
      <c r="F1" s="51" t="s">
        <v>8</v>
      </c>
      <c r="G1" s="52" t="s">
        <v>9</v>
      </c>
    </row>
    <row r="2" spans="1:7" x14ac:dyDescent="0.45">
      <c r="A2" s="26" cm="1">
        <f t="array" aca="1" ref="A2" ca="1">VALUE(MID(CELL("filename",A2),FIND("]",CELL("filename",A2))+1,99))</f>
        <v>48</v>
      </c>
      <c r="B2" s="27"/>
      <c r="C2" s="28"/>
      <c r="D2" s="95" t="s">
        <v>10</v>
      </c>
      <c r="G2" s="101" t="s">
        <v>11</v>
      </c>
    </row>
    <row r="3" spans="1:7" ht="24.6" customHeight="1" thickBot="1" x14ac:dyDescent="0.5">
      <c r="A3" s="26"/>
      <c r="D3" s="93">
        <f>IFERROR(VLOOKUP($A$1,目次!$C$5:$I$100,5,FALSE),"")</f>
        <v>45730</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6F620E0B-164F-46C9-99AC-A8A9D4CB6E8C}"/>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D509B-C068-43EA-A8FD-97475BC3E451}">
  <sheetPr codeName="Sheet55">
    <tabColor rgb="FFFFFF00"/>
  </sheetPr>
  <dimension ref="A1:G216"/>
  <sheetViews>
    <sheetView showGridLines="0" zoomScale="80" zoomScaleNormal="80" workbookViewId="0">
      <pane ySplit="4" topLeftCell="A136"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49</v>
      </c>
      <c r="E1" s="30" t="s">
        <v>7</v>
      </c>
      <c r="F1" s="51" t="s">
        <v>8</v>
      </c>
      <c r="G1" s="52" t="s">
        <v>9</v>
      </c>
    </row>
    <row r="2" spans="1:7" x14ac:dyDescent="0.45">
      <c r="A2" s="26" cm="1">
        <f t="array" aca="1" ref="A2" ca="1">VALUE(MID(CELL("filename",A2),FIND("]",CELL("filename",A2))+1,99))</f>
        <v>49</v>
      </c>
      <c r="B2" s="27"/>
      <c r="C2" s="28"/>
      <c r="D2" s="95" t="s">
        <v>10</v>
      </c>
      <c r="G2" s="101" t="s">
        <v>11</v>
      </c>
    </row>
    <row r="3" spans="1:7" ht="24.6" customHeight="1" thickBot="1" x14ac:dyDescent="0.5">
      <c r="A3" s="26"/>
      <c r="D3" s="93">
        <f>IFERROR(VLOOKUP($A$1,目次!$C$5:$I$100,5,FALSE),"")</f>
        <v>45737</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A7C8539C-4F00-4E04-97AA-DA54A6650D93}"/>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415CB-47B7-49A2-AF74-0D938F364DEB}">
  <sheetPr codeName="Sheet56">
    <tabColor rgb="FFFFFF00"/>
  </sheetPr>
  <dimension ref="A1:G216"/>
  <sheetViews>
    <sheetView showGridLines="0" zoomScale="80" zoomScaleNormal="80" workbookViewId="0">
      <pane ySplit="4" topLeftCell="A133" activePane="bottomLeft" state="frozen"/>
      <selection activeCell="A147" sqref="A147"/>
      <selection pane="bottomLeft" activeCell="A147" sqref="A147"/>
    </sheetView>
  </sheetViews>
  <sheetFormatPr defaultColWidth="8.69921875" defaultRowHeight="15" outlineLevelCol="1" x14ac:dyDescent="0.45"/>
  <cols>
    <col min="1" max="1" width="2.69921875" style="11" bestFit="1" customWidth="1"/>
    <col min="2" max="2" width="5.59765625" style="23" hidden="1" customWidth="1" outlineLevel="1"/>
    <col min="3" max="3" width="8.5" style="24" hidden="1" customWidth="1" outlineLevel="1"/>
    <col min="4" max="4" width="26.09765625" style="11" customWidth="1" collapsed="1"/>
    <col min="5" max="5" width="80.69921875" style="25" customWidth="1"/>
    <col min="6" max="6" width="25.5" style="29" customWidth="1"/>
    <col min="7" max="7" width="48" style="25" customWidth="1"/>
    <col min="8" max="16384" width="8.69921875" style="11"/>
  </cols>
  <sheetData>
    <row r="1" spans="1:7" ht="27.6" customHeight="1" thickBot="1" x14ac:dyDescent="0.5">
      <c r="A1" s="26">
        <v>50</v>
      </c>
      <c r="E1" s="30" t="s">
        <v>7</v>
      </c>
      <c r="F1" s="51" t="s">
        <v>8</v>
      </c>
      <c r="G1" s="52" t="s">
        <v>9</v>
      </c>
    </row>
    <row r="2" spans="1:7" x14ac:dyDescent="0.45">
      <c r="A2" s="26" cm="1">
        <f t="array" aca="1" ref="A2" ca="1">VALUE(MID(CELL("filename",A2),FIND("]",CELL("filename",A2))+1,99))</f>
        <v>50</v>
      </c>
      <c r="B2" s="27"/>
      <c r="C2" s="28"/>
      <c r="D2" s="95" t="s">
        <v>10</v>
      </c>
      <c r="G2" s="101" t="s">
        <v>11</v>
      </c>
    </row>
    <row r="3" spans="1:7" ht="24.6" customHeight="1" thickBot="1" x14ac:dyDescent="0.5">
      <c r="A3" s="26"/>
      <c r="D3" s="93">
        <f>IFERROR(VLOOKUP($A$1,目次!$C$5:$I$100,5,FALSE),"")</f>
        <v>45744</v>
      </c>
      <c r="G3" s="19" t="s">
        <v>12</v>
      </c>
    </row>
    <row r="4" spans="1:7" s="10" customFormat="1" ht="33" thickBot="1" x14ac:dyDescent="0.5">
      <c r="B4" s="23"/>
      <c r="C4" s="31"/>
      <c r="D4" s="32" t="s">
        <v>13</v>
      </c>
      <c r="E4" s="33" t="s">
        <v>14</v>
      </c>
      <c r="F4" s="34" t="s">
        <v>15</v>
      </c>
      <c r="G4" s="35" t="s">
        <v>16</v>
      </c>
    </row>
    <row r="5" spans="1:7" ht="19.95" customHeight="1" x14ac:dyDescent="0.45">
      <c r="B5" s="23">
        <v>1</v>
      </c>
      <c r="C5" s="24" t="str">
        <f>"ﾘｽﾄ!C"&amp;B5+2</f>
        <v>ﾘｽﾄ!C3</v>
      </c>
      <c r="D5" s="36" t="str">
        <f>IFERROR(VLOOKUP($B5,ﾘｽﾄ!A:B,2,FALSE),"")</f>
        <v>総務部</v>
      </c>
      <c r="E5" s="106"/>
      <c r="F5" s="37" t="str" cm="1">
        <f t="array" aca="1" ref="F5" ca="1">HYPERLINK(INDIRECT(C5),D5)</f>
        <v>総務部</v>
      </c>
      <c r="G5" s="38"/>
    </row>
    <row r="6" spans="1:7" ht="19.95" customHeight="1" x14ac:dyDescent="0.45">
      <c r="D6" s="36"/>
      <c r="E6" s="106"/>
      <c r="F6" s="37"/>
      <c r="G6" s="39"/>
    </row>
    <row r="7" spans="1:7" ht="19.95" customHeight="1" x14ac:dyDescent="0.45">
      <c r="D7" s="36"/>
      <c r="E7" s="106"/>
      <c r="F7" s="40"/>
      <c r="G7" s="39"/>
    </row>
    <row r="8" spans="1:7" ht="19.95" customHeight="1" x14ac:dyDescent="0.45">
      <c r="D8" s="36"/>
      <c r="E8" s="106"/>
      <c r="F8" s="40"/>
      <c r="G8" s="39"/>
    </row>
    <row r="9" spans="1:7" ht="19.95" customHeight="1" x14ac:dyDescent="0.45">
      <c r="D9" s="41"/>
      <c r="E9" s="107"/>
      <c r="F9" s="42"/>
      <c r="G9" s="43"/>
    </row>
    <row r="10" spans="1:7" ht="19.95" customHeight="1" x14ac:dyDescent="0.45">
      <c r="B10" s="23">
        <f>B5+1</f>
        <v>2</v>
      </c>
      <c r="C10" s="24" t="str">
        <f>"ﾘｽﾄ!C"&amp;B10+2</f>
        <v>ﾘｽﾄ!C4</v>
      </c>
      <c r="D10" s="44" t="str">
        <f>IFERROR(VLOOKUP($B10,ﾘｽﾄ!A:B,2,FALSE),"")</f>
        <v>人事部</v>
      </c>
      <c r="E10" s="108"/>
      <c r="F10" s="37" t="str" cm="1">
        <f t="array" aca="1" ref="F10" ca="1">HYPERLINK(INDIRECT(C10),D10)</f>
        <v>人事部</v>
      </c>
      <c r="G10" s="45"/>
    </row>
    <row r="11" spans="1:7" ht="19.95" customHeight="1" x14ac:dyDescent="0.45">
      <c r="D11" s="36"/>
      <c r="E11" s="106"/>
      <c r="F11" s="37"/>
      <c r="G11" s="39"/>
    </row>
    <row r="12" spans="1:7" ht="19.95" customHeight="1" x14ac:dyDescent="0.45">
      <c r="D12" s="36"/>
      <c r="E12" s="106"/>
      <c r="F12" s="37"/>
      <c r="G12" s="39"/>
    </row>
    <row r="13" spans="1:7" ht="19.95" customHeight="1" x14ac:dyDescent="0.45">
      <c r="D13" s="36"/>
      <c r="E13" s="106"/>
      <c r="F13" s="40"/>
      <c r="G13" s="39"/>
    </row>
    <row r="14" spans="1:7" ht="19.95" customHeight="1" x14ac:dyDescent="0.45">
      <c r="D14" s="41"/>
      <c r="E14" s="107"/>
      <c r="F14" s="42"/>
      <c r="G14" s="43"/>
    </row>
    <row r="15" spans="1:7" ht="19.95" customHeight="1" x14ac:dyDescent="0.45">
      <c r="B15" s="23">
        <f>B10+1</f>
        <v>3</v>
      </c>
      <c r="C15" s="24" t="str">
        <f>"ﾘｽﾄ!C"&amp;B15+2</f>
        <v>ﾘｽﾄ!C5</v>
      </c>
      <c r="D15" s="44" t="str">
        <f>IFERROR(VLOOKUP($B15,ﾘｽﾄ!A:B,2,FALSE),"")</f>
        <v>総務・人事統括部</v>
      </c>
      <c r="E15" s="108"/>
      <c r="F15" s="37" t="str" cm="1">
        <f t="array" aca="1" ref="F15" ca="1">HYPERLINK(INDIRECT(C15),D15)</f>
        <v>総務・人事統括部</v>
      </c>
      <c r="G15" s="45"/>
    </row>
    <row r="16" spans="1:7" ht="19.95" customHeight="1" x14ac:dyDescent="0.45">
      <c r="D16" s="36"/>
      <c r="E16" s="106"/>
      <c r="F16" s="37"/>
      <c r="G16" s="39"/>
    </row>
    <row r="17" spans="2:7" ht="19.95" customHeight="1" x14ac:dyDescent="0.45">
      <c r="D17" s="36"/>
      <c r="E17" s="106"/>
      <c r="F17" s="40"/>
      <c r="G17" s="39"/>
    </row>
    <row r="18" spans="2:7" ht="19.95" customHeight="1" x14ac:dyDescent="0.45">
      <c r="D18" s="36"/>
      <c r="E18" s="106"/>
      <c r="F18" s="40"/>
      <c r="G18" s="39"/>
    </row>
    <row r="19" spans="2:7" ht="19.95" customHeight="1" x14ac:dyDescent="0.45">
      <c r="D19" s="41"/>
      <c r="E19" s="107"/>
      <c r="F19" s="42"/>
      <c r="G19" s="43"/>
    </row>
    <row r="20" spans="2:7" ht="19.95" customHeight="1" x14ac:dyDescent="0.45">
      <c r="B20" s="23">
        <f>B15+1</f>
        <v>4</v>
      </c>
      <c r="C20" s="24" t="str">
        <f>"ﾘｽﾄ!C"&amp;B20+2</f>
        <v>ﾘｽﾄ!C6</v>
      </c>
      <c r="D20" s="44" t="str">
        <f>IFERROR(VLOOKUP($B20,ﾘｽﾄ!A:B,2,FALSE),"")</f>
        <v>経営戦略室</v>
      </c>
      <c r="E20" s="108"/>
      <c r="F20" s="37" t="str" cm="1">
        <f t="array" aca="1" ref="F20" ca="1">HYPERLINK(INDIRECT(C20),D20)</f>
        <v>経営戦略室</v>
      </c>
      <c r="G20" s="45"/>
    </row>
    <row r="21" spans="2:7" ht="19.95" customHeight="1" x14ac:dyDescent="0.45">
      <c r="D21" s="36"/>
      <c r="E21" s="106"/>
      <c r="F21" s="40"/>
      <c r="G21" s="39"/>
    </row>
    <row r="22" spans="2:7" ht="19.95" customHeight="1" x14ac:dyDescent="0.45">
      <c r="D22" s="36"/>
      <c r="E22" s="106"/>
      <c r="F22" s="40"/>
      <c r="G22" s="39"/>
    </row>
    <row r="23" spans="2:7" ht="19.95" customHeight="1" x14ac:dyDescent="0.45">
      <c r="D23" s="36"/>
      <c r="E23" s="106"/>
      <c r="F23" s="40"/>
      <c r="G23" s="39"/>
    </row>
    <row r="24" spans="2:7" ht="19.95" customHeight="1" x14ac:dyDescent="0.45">
      <c r="D24" s="41"/>
      <c r="E24" s="107"/>
      <c r="F24" s="42"/>
      <c r="G24" s="43"/>
    </row>
    <row r="25" spans="2:7" ht="19.95" customHeight="1" x14ac:dyDescent="0.45">
      <c r="B25" s="23">
        <f>B20+1</f>
        <v>5</v>
      </c>
      <c r="C25" s="24" t="str">
        <f>"ﾘｽﾄ!C"&amp;B25+2</f>
        <v>ﾘｽﾄ!C7</v>
      </c>
      <c r="D25" s="44" t="str">
        <f>IFERROR(VLOOKUP($B25,ﾘｽﾄ!A:B,2,FALSE),"")</f>
        <v>経営管理部</v>
      </c>
      <c r="E25" s="108"/>
      <c r="F25" s="37" t="str" cm="1">
        <f t="array" aca="1" ref="F25" ca="1">HYPERLINK(INDIRECT(C25),D25)</f>
        <v>経営管理部</v>
      </c>
      <c r="G25" s="45"/>
    </row>
    <row r="26" spans="2:7" ht="19.95" customHeight="1" x14ac:dyDescent="0.45">
      <c r="D26" s="36"/>
      <c r="E26" s="106"/>
      <c r="F26" s="40"/>
      <c r="G26" s="39"/>
    </row>
    <row r="27" spans="2:7" ht="19.95" customHeight="1" x14ac:dyDescent="0.45">
      <c r="D27" s="36"/>
      <c r="E27" s="106"/>
      <c r="F27" s="40"/>
      <c r="G27" s="39"/>
    </row>
    <row r="28" spans="2:7" ht="19.95" customHeight="1" x14ac:dyDescent="0.45">
      <c r="D28" s="36"/>
      <c r="E28" s="106"/>
      <c r="F28" s="40"/>
      <c r="G28" s="39"/>
    </row>
    <row r="29" spans="2:7" ht="19.95" customHeight="1" x14ac:dyDescent="0.45">
      <c r="D29" s="41"/>
      <c r="E29" s="107"/>
      <c r="F29" s="42"/>
      <c r="G29" s="43"/>
    </row>
    <row r="30" spans="2:7" ht="19.95" customHeight="1" x14ac:dyDescent="0.45">
      <c r="B30" s="23">
        <f>B25+1</f>
        <v>6</v>
      </c>
      <c r="C30" s="24" t="str">
        <f>"ﾘｽﾄ!C"&amp;B30+2</f>
        <v>ﾘｽﾄ!C8</v>
      </c>
      <c r="D30" s="44" t="str">
        <f>IFERROR(VLOOKUP($B30,ﾘｽﾄ!A:B,2,FALSE),"")</f>
        <v>財務部</v>
      </c>
      <c r="E30" s="108"/>
      <c r="F30" s="37" t="str" cm="1">
        <f t="array" aca="1" ref="F30" ca="1">HYPERLINK(INDIRECT(C30),D30)</f>
        <v>財務部</v>
      </c>
      <c r="G30" s="45"/>
    </row>
    <row r="31" spans="2:7" ht="19.95" customHeight="1" x14ac:dyDescent="0.45">
      <c r="D31" s="36"/>
      <c r="E31" s="106"/>
      <c r="F31" s="40"/>
      <c r="G31" s="39"/>
    </row>
    <row r="32" spans="2:7" ht="19.95" customHeight="1" x14ac:dyDescent="0.45">
      <c r="D32" s="36"/>
      <c r="E32" s="106"/>
      <c r="F32" s="40"/>
      <c r="G32" s="39"/>
    </row>
    <row r="33" spans="2:7" ht="19.95" customHeight="1" x14ac:dyDescent="0.45">
      <c r="D33" s="36"/>
      <c r="E33" s="106"/>
      <c r="F33" s="40"/>
      <c r="G33" s="39"/>
    </row>
    <row r="34" spans="2:7" ht="19.95" customHeight="1" x14ac:dyDescent="0.45">
      <c r="D34" s="41"/>
      <c r="E34" s="107"/>
      <c r="F34" s="42"/>
      <c r="G34" s="43"/>
    </row>
    <row r="35" spans="2:7" ht="19.95" customHeight="1" x14ac:dyDescent="0.45">
      <c r="B35" s="23">
        <f>B30+1</f>
        <v>7</v>
      </c>
      <c r="C35" s="24" t="str">
        <f>"ﾘｽﾄ!C"&amp;B35+2</f>
        <v>ﾘｽﾄ!C9</v>
      </c>
      <c r="D35" s="44" t="str">
        <f>IFERROR(VLOOKUP($B35,ﾘｽﾄ!A:B,2,FALSE),"")</f>
        <v>経営戦略・管理・財務統括部</v>
      </c>
      <c r="E35" s="108"/>
      <c r="F35" s="37" t="str" cm="1">
        <f t="array" aca="1" ref="F35" ca="1">HYPERLINK(INDIRECT(C35),D35)</f>
        <v>経営戦略・管理・財務統括部</v>
      </c>
      <c r="G35" s="45"/>
    </row>
    <row r="36" spans="2:7" ht="19.95" customHeight="1" x14ac:dyDescent="0.45">
      <c r="D36" s="36"/>
      <c r="E36" s="106"/>
      <c r="F36" s="40"/>
      <c r="G36" s="39"/>
    </row>
    <row r="37" spans="2:7" ht="19.95" customHeight="1" x14ac:dyDescent="0.45">
      <c r="D37" s="36"/>
      <c r="E37" s="106"/>
      <c r="F37" s="40"/>
      <c r="G37" s="39"/>
    </row>
    <row r="38" spans="2:7" ht="19.95" customHeight="1" x14ac:dyDescent="0.45">
      <c r="D38" s="36"/>
      <c r="E38" s="106"/>
      <c r="F38" s="40"/>
      <c r="G38" s="39"/>
    </row>
    <row r="39" spans="2:7" ht="19.95" customHeight="1" x14ac:dyDescent="0.45">
      <c r="D39" s="41"/>
      <c r="E39" s="107"/>
      <c r="F39" s="42"/>
      <c r="G39" s="43"/>
    </row>
    <row r="40" spans="2:7" ht="19.95" customHeight="1" x14ac:dyDescent="0.45">
      <c r="B40" s="23">
        <f>B35+1</f>
        <v>8</v>
      </c>
      <c r="C40" s="24" t="str">
        <f>"ﾘｽﾄ!C"&amp;B40+2</f>
        <v>ﾘｽﾄ!C10</v>
      </c>
      <c r="D40" s="44" t="str">
        <f>IFERROR(VLOOKUP($B40,ﾘｽﾄ!A:B,2,FALSE),"")</f>
        <v>公共第1プロデュース部</v>
      </c>
      <c r="E40" s="108"/>
      <c r="F40" s="37" t="str" cm="1">
        <f t="array" aca="1" ref="F40" ca="1">HYPERLINK(INDIRECT(C40),D40)</f>
        <v>公共第1プロデュース部</v>
      </c>
      <c r="G40" s="45"/>
    </row>
    <row r="41" spans="2:7" ht="19.95" customHeight="1" x14ac:dyDescent="0.45">
      <c r="D41" s="36"/>
      <c r="E41" s="106"/>
      <c r="F41" s="40"/>
      <c r="G41" s="39"/>
    </row>
    <row r="42" spans="2:7" ht="19.95" customHeight="1" x14ac:dyDescent="0.45">
      <c r="D42" s="36"/>
      <c r="E42" s="106"/>
      <c r="F42" s="40"/>
      <c r="G42" s="39"/>
    </row>
    <row r="43" spans="2:7" ht="19.95" customHeight="1" x14ac:dyDescent="0.45">
      <c r="D43" s="36"/>
      <c r="E43" s="106"/>
      <c r="F43" s="40"/>
      <c r="G43" s="39"/>
    </row>
    <row r="44" spans="2:7" ht="19.95" customHeight="1" x14ac:dyDescent="0.45">
      <c r="D44" s="41"/>
      <c r="E44" s="107"/>
      <c r="F44" s="42"/>
      <c r="G44" s="43"/>
    </row>
    <row r="45" spans="2:7" ht="19.95" customHeight="1" x14ac:dyDescent="0.45">
      <c r="B45" s="23">
        <f>B40+1</f>
        <v>9</v>
      </c>
      <c r="C45" s="24" t="str">
        <f>"ﾘｽﾄ!C"&amp;B45+2</f>
        <v>ﾘｽﾄ!C11</v>
      </c>
      <c r="D45" s="44" t="str">
        <f>IFERROR(VLOOKUP($B45,ﾘｽﾄ!A:B,2,FALSE),"")</f>
        <v>公共第2プロデュース部</v>
      </c>
      <c r="E45" s="114"/>
      <c r="F45" s="46" t="str" cm="1">
        <f t="array" aca="1" ref="F45" ca="1">HYPERLINK(INDIRECT(C45),D45)</f>
        <v>公共第2プロデュース部</v>
      </c>
      <c r="G45" s="45"/>
    </row>
    <row r="46" spans="2:7" ht="19.95" customHeight="1" x14ac:dyDescent="0.45">
      <c r="D46" s="36"/>
      <c r="E46" s="115"/>
      <c r="F46" s="40"/>
      <c r="G46" s="39"/>
    </row>
    <row r="47" spans="2:7" ht="19.95" customHeight="1" x14ac:dyDescent="0.45">
      <c r="D47" s="36"/>
      <c r="E47" s="115"/>
      <c r="F47" s="40"/>
      <c r="G47" s="39"/>
    </row>
    <row r="48" spans="2:7" ht="19.95" customHeight="1" x14ac:dyDescent="0.45">
      <c r="D48" s="36"/>
      <c r="E48" s="115"/>
      <c r="F48" s="40"/>
      <c r="G48" s="39"/>
    </row>
    <row r="49" spans="2:7" ht="19.95" customHeight="1" x14ac:dyDescent="0.45">
      <c r="D49" s="41"/>
      <c r="E49" s="116"/>
      <c r="F49" s="42"/>
      <c r="G49" s="43"/>
    </row>
    <row r="50" spans="2:7" ht="19.95" customHeight="1" x14ac:dyDescent="0.45">
      <c r="B50" s="23">
        <f t="shared" ref="B50" si="0">B45+1</f>
        <v>10</v>
      </c>
      <c r="C50" s="24" t="str">
        <f>"ﾘｽﾄ!C"&amp;B50+2</f>
        <v>ﾘｽﾄ!C12</v>
      </c>
      <c r="D50" s="44" t="str">
        <f>IFERROR(VLOOKUP($B50,ﾘｽﾄ!A:B,2,FALSE),"")</f>
        <v>公共DX推進部</v>
      </c>
      <c r="E50" s="108"/>
      <c r="F50" s="46" t="str" cm="1">
        <f t="array" aca="1" ref="F50" ca="1">HYPERLINK(INDIRECT(C50),D50)</f>
        <v>公共DX推進部</v>
      </c>
      <c r="G50" s="45"/>
    </row>
    <row r="51" spans="2:7" ht="19.95" customHeight="1" x14ac:dyDescent="0.45">
      <c r="D51" s="36"/>
      <c r="E51" s="106"/>
      <c r="F51" s="40"/>
      <c r="G51" s="39"/>
    </row>
    <row r="52" spans="2:7" ht="19.95" customHeight="1" x14ac:dyDescent="0.45">
      <c r="D52" s="36"/>
      <c r="E52" s="106"/>
      <c r="F52" s="40"/>
      <c r="G52" s="39"/>
    </row>
    <row r="53" spans="2:7" ht="19.95" customHeight="1" x14ac:dyDescent="0.45">
      <c r="D53" s="36"/>
      <c r="E53" s="106"/>
      <c r="F53" s="40"/>
      <c r="G53" s="39"/>
    </row>
    <row r="54" spans="2:7" ht="19.95" customHeight="1" x14ac:dyDescent="0.45">
      <c r="D54" s="41"/>
      <c r="E54" s="107"/>
      <c r="F54" s="42"/>
      <c r="G54" s="43"/>
    </row>
    <row r="55" spans="2:7" ht="19.95" customHeight="1" x14ac:dyDescent="0.45">
      <c r="B55" s="23">
        <f t="shared" ref="B55" si="1">B50+1</f>
        <v>11</v>
      </c>
      <c r="C55" s="24" t="str">
        <f>"ﾘｽﾄ!C"&amp;B55+2</f>
        <v>ﾘｽﾄ!C13</v>
      </c>
      <c r="D55" s="44" t="str">
        <f>IFERROR(VLOOKUP($B55,ﾘｽﾄ!A:B,2,FALSE),"")</f>
        <v>社会インフラサービス部</v>
      </c>
      <c r="E55" s="108"/>
      <c r="F55" s="46" t="str" cm="1">
        <f t="array" aca="1" ref="F55" ca="1">HYPERLINK(INDIRECT(C55),D55)</f>
        <v>社会インフラサービス部</v>
      </c>
      <c r="G55" s="45"/>
    </row>
    <row r="56" spans="2:7" ht="19.95" customHeight="1" x14ac:dyDescent="0.45">
      <c r="D56" s="36"/>
      <c r="E56" s="106"/>
      <c r="F56" s="40"/>
      <c r="G56" s="39"/>
    </row>
    <row r="57" spans="2:7" ht="19.95" customHeight="1" x14ac:dyDescent="0.45">
      <c r="D57" s="36"/>
      <c r="E57" s="106"/>
      <c r="F57" s="40"/>
      <c r="G57" s="39"/>
    </row>
    <row r="58" spans="2:7" ht="19.95" customHeight="1" x14ac:dyDescent="0.45">
      <c r="D58" s="36"/>
      <c r="E58" s="106"/>
      <c r="F58" s="40"/>
      <c r="G58" s="39"/>
    </row>
    <row r="59" spans="2:7" ht="19.95" customHeight="1" x14ac:dyDescent="0.45">
      <c r="D59" s="41"/>
      <c r="E59" s="107"/>
      <c r="F59" s="42"/>
      <c r="G59" s="43"/>
    </row>
    <row r="60" spans="2:7" ht="19.95" customHeight="1" x14ac:dyDescent="0.45">
      <c r="B60" s="23">
        <f t="shared" ref="B60" si="2">B55+1</f>
        <v>12</v>
      </c>
      <c r="C60" s="24" t="str">
        <f>"ﾘｽﾄ!C"&amp;B60+2</f>
        <v>ﾘｽﾄ!C14</v>
      </c>
      <c r="D60" s="44" t="str">
        <f>IFERROR(VLOOKUP($B60,ﾘｽﾄ!A:B,2,FALSE),"")</f>
        <v>公共ビジネス事業部</v>
      </c>
      <c r="E60" s="108"/>
      <c r="F60" s="46" t="str" cm="1">
        <f t="array" aca="1" ref="F60" ca="1">HYPERLINK(INDIRECT(C60),D60)</f>
        <v>公共ビジネス事業部</v>
      </c>
      <c r="G60" s="45"/>
    </row>
    <row r="61" spans="2:7" ht="19.95" customHeight="1" x14ac:dyDescent="0.45">
      <c r="D61" s="36"/>
      <c r="E61" s="106"/>
      <c r="F61" s="40"/>
      <c r="G61" s="39"/>
    </row>
    <row r="62" spans="2:7" ht="19.95" customHeight="1" x14ac:dyDescent="0.45">
      <c r="D62" s="36"/>
      <c r="E62" s="106"/>
      <c r="F62" s="40"/>
      <c r="G62" s="39"/>
    </row>
    <row r="63" spans="2:7" ht="19.95" customHeight="1" x14ac:dyDescent="0.45">
      <c r="D63" s="36"/>
      <c r="E63" s="106"/>
      <c r="F63" s="40"/>
      <c r="G63" s="39"/>
    </row>
    <row r="64" spans="2:7" ht="19.95" customHeight="1" x14ac:dyDescent="0.45">
      <c r="D64" s="41"/>
      <c r="E64" s="107"/>
      <c r="F64" s="42"/>
      <c r="G64" s="43"/>
    </row>
    <row r="65" spans="2:7" ht="19.95" customHeight="1" x14ac:dyDescent="0.45">
      <c r="B65" s="23">
        <f t="shared" ref="B65" si="3">B60+1</f>
        <v>13</v>
      </c>
      <c r="C65" s="24" t="str">
        <f>"ﾘｽﾄ!C"&amp;B65+2</f>
        <v>ﾘｽﾄ!C15</v>
      </c>
      <c r="D65" s="44" t="str">
        <f>IFERROR(VLOOKUP($B65,ﾘｽﾄ!A:B,2,FALSE),"")</f>
        <v>ITサービスマネジメント部</v>
      </c>
      <c r="E65" s="108"/>
      <c r="F65" s="46" t="str" cm="1">
        <f t="array" aca="1" ref="F65" ca="1">HYPERLINK(INDIRECT(C65),D65)</f>
        <v>ITサービスマネジメント部</v>
      </c>
      <c r="G65" s="45"/>
    </row>
    <row r="66" spans="2:7" ht="19.95" customHeight="1" x14ac:dyDescent="0.45">
      <c r="D66" s="36"/>
      <c r="E66" s="106"/>
      <c r="F66" s="40"/>
      <c r="G66" s="39"/>
    </row>
    <row r="67" spans="2:7" ht="19.95" customHeight="1" x14ac:dyDescent="0.45">
      <c r="D67" s="36"/>
      <c r="E67" s="106"/>
      <c r="F67" s="40"/>
      <c r="G67" s="39"/>
    </row>
    <row r="68" spans="2:7" ht="19.95" customHeight="1" x14ac:dyDescent="0.45">
      <c r="D68" s="36"/>
      <c r="E68" s="106"/>
      <c r="F68" s="40"/>
      <c r="G68" s="39"/>
    </row>
    <row r="69" spans="2:7" ht="19.95" customHeight="1" x14ac:dyDescent="0.45">
      <c r="D69" s="41"/>
      <c r="E69" s="107"/>
      <c r="F69" s="42"/>
      <c r="G69" s="43"/>
    </row>
    <row r="70" spans="2:7" ht="19.95" customHeight="1" x14ac:dyDescent="0.45">
      <c r="B70" s="23">
        <f t="shared" ref="B70" si="4">B65+1</f>
        <v>14</v>
      </c>
      <c r="C70" s="24" t="str">
        <f>"ﾘｽﾄ!C"&amp;B70+2</f>
        <v>ﾘｽﾄ!C16</v>
      </c>
      <c r="D70" s="44" t="str">
        <f>IFERROR(VLOOKUP($B70,ﾘｽﾄ!A:B,2,FALSE),"")</f>
        <v>標準化・ガバメントクラウド推進部</v>
      </c>
      <c r="E70" s="108"/>
      <c r="F70" s="46" t="str" cm="1">
        <f t="array" aca="1" ref="F70" ca="1">HYPERLINK(INDIRECT(C70),D70)</f>
        <v>標準化・ガバメントクラウド推進部</v>
      </c>
      <c r="G70" s="45"/>
    </row>
    <row r="71" spans="2:7" ht="19.95" customHeight="1" x14ac:dyDescent="0.45">
      <c r="D71" s="36"/>
      <c r="E71" s="106"/>
      <c r="F71" s="40"/>
      <c r="G71" s="39"/>
    </row>
    <row r="72" spans="2:7" ht="19.95" customHeight="1" x14ac:dyDescent="0.45">
      <c r="D72" s="36"/>
      <c r="E72" s="106"/>
      <c r="F72" s="40"/>
      <c r="G72" s="39"/>
    </row>
    <row r="73" spans="2:7" ht="19.95" customHeight="1" x14ac:dyDescent="0.45">
      <c r="D73" s="36"/>
      <c r="E73" s="106"/>
      <c r="F73" s="40"/>
      <c r="G73" s="39"/>
    </row>
    <row r="74" spans="2:7" ht="19.95" customHeight="1" x14ac:dyDescent="0.45">
      <c r="D74" s="41"/>
      <c r="E74" s="107"/>
      <c r="F74" s="42"/>
      <c r="G74" s="43"/>
    </row>
    <row r="75" spans="2:7" ht="19.95" customHeight="1" x14ac:dyDescent="0.45">
      <c r="B75" s="23">
        <f t="shared" ref="B75" si="5">B70+1</f>
        <v>15</v>
      </c>
      <c r="C75" s="24" t="str">
        <f>"ﾘｽﾄ!C"&amp;B75+2</f>
        <v>ﾘｽﾄ!C17</v>
      </c>
      <c r="D75" s="44" t="str">
        <f>IFERROR(VLOOKUP($B75,ﾘｽﾄ!A:B,2,FALSE),"")</f>
        <v>ITサービス事業部</v>
      </c>
      <c r="E75" s="108"/>
      <c r="F75" s="46" t="str" cm="1">
        <f t="array" aca="1" ref="F75" ca="1">HYPERLINK(INDIRECT(C75),D75)</f>
        <v>ITサービス事業部</v>
      </c>
      <c r="G75" s="45"/>
    </row>
    <row r="76" spans="2:7" ht="19.95" customHeight="1" x14ac:dyDescent="0.45">
      <c r="D76" s="36"/>
      <c r="E76" s="106"/>
      <c r="F76" s="40"/>
      <c r="G76" s="39"/>
    </row>
    <row r="77" spans="2:7" ht="19.95" customHeight="1" x14ac:dyDescent="0.45">
      <c r="D77" s="36"/>
      <c r="E77" s="106"/>
      <c r="F77" s="40"/>
      <c r="G77" s="39"/>
    </row>
    <row r="78" spans="2:7" ht="19.95" customHeight="1" x14ac:dyDescent="0.45">
      <c r="D78" s="36"/>
      <c r="E78" s="106"/>
      <c r="F78" s="40"/>
      <c r="G78" s="39"/>
    </row>
    <row r="79" spans="2:7" ht="19.95" customHeight="1" x14ac:dyDescent="0.45">
      <c r="D79" s="41"/>
      <c r="E79" s="107"/>
      <c r="F79" s="42"/>
      <c r="G79" s="43"/>
    </row>
    <row r="80" spans="2:7" ht="19.95" customHeight="1" x14ac:dyDescent="0.45">
      <c r="B80" s="23">
        <f t="shared" ref="B80" si="6">B75+1</f>
        <v>16</v>
      </c>
      <c r="C80" s="24" t="str">
        <f>"ﾘｽﾄ!C"&amp;B80+2</f>
        <v>ﾘｽﾄ!C18</v>
      </c>
      <c r="D80" s="44" t="str">
        <f>IFERROR(VLOOKUP($B80,ﾘｽﾄ!A:B,2,FALSE),"")</f>
        <v>DXビジネスプロデュース部</v>
      </c>
      <c r="E80" s="108"/>
      <c r="F80" s="46" t="str" cm="1">
        <f t="array" aca="1" ref="F80" ca="1">HYPERLINK(INDIRECT(C80),D80)</f>
        <v>DXビジネスプロデュース部</v>
      </c>
      <c r="G80" s="45"/>
    </row>
    <row r="81" spans="2:7" ht="19.95" customHeight="1" x14ac:dyDescent="0.45">
      <c r="D81" s="36"/>
      <c r="E81" s="106"/>
      <c r="F81" s="40"/>
      <c r="G81" s="39"/>
    </row>
    <row r="82" spans="2:7" ht="19.95" customHeight="1" x14ac:dyDescent="0.45">
      <c r="D82" s="36"/>
      <c r="E82" s="106"/>
      <c r="F82" s="40"/>
      <c r="G82" s="39"/>
    </row>
    <row r="83" spans="2:7" ht="19.95" customHeight="1" x14ac:dyDescent="0.45">
      <c r="D83" s="36"/>
      <c r="E83" s="106"/>
      <c r="F83" s="40"/>
      <c r="G83" s="39"/>
    </row>
    <row r="84" spans="2:7" ht="19.95" customHeight="1" x14ac:dyDescent="0.45">
      <c r="D84" s="41"/>
      <c r="E84" s="107"/>
      <c r="F84" s="42"/>
      <c r="G84" s="43"/>
    </row>
    <row r="85" spans="2:7" ht="19.95" customHeight="1" x14ac:dyDescent="0.45">
      <c r="B85" s="23">
        <f t="shared" ref="B85" si="7">B80+1</f>
        <v>17</v>
      </c>
      <c r="C85" s="24" t="str">
        <f>"ﾘｽﾄ!C"&amp;B85+2</f>
        <v>ﾘｽﾄ!C19</v>
      </c>
      <c r="D85" s="44" t="str">
        <f>IFERROR(VLOOKUP($B85,ﾘｽﾄ!A:B,2,FALSE),"")</f>
        <v>九州ビジネスプロデュース部</v>
      </c>
      <c r="E85" s="108"/>
      <c r="F85" s="46" t="str" cm="1">
        <f t="array" aca="1" ref="F85" ca="1">HYPERLINK(INDIRECT(C85),D85)</f>
        <v>九州ビジネスプロデュース部</v>
      </c>
      <c r="G85" s="45"/>
    </row>
    <row r="86" spans="2:7" ht="19.95" customHeight="1" x14ac:dyDescent="0.45">
      <c r="D86" s="36"/>
      <c r="E86" s="106"/>
      <c r="F86" s="40"/>
      <c r="G86" s="39"/>
    </row>
    <row r="87" spans="2:7" ht="19.95" customHeight="1" x14ac:dyDescent="0.45">
      <c r="D87" s="36"/>
      <c r="E87" s="106"/>
      <c r="F87" s="40"/>
      <c r="G87" s="39"/>
    </row>
    <row r="88" spans="2:7" ht="19.95" customHeight="1" x14ac:dyDescent="0.45">
      <c r="D88" s="36"/>
      <c r="E88" s="106"/>
      <c r="F88" s="40"/>
      <c r="G88" s="39"/>
    </row>
    <row r="89" spans="2:7" ht="19.95" customHeight="1" x14ac:dyDescent="0.45">
      <c r="D89" s="41"/>
      <c r="E89" s="107"/>
      <c r="F89" s="42"/>
      <c r="G89" s="43"/>
    </row>
    <row r="90" spans="2:7" ht="19.95" customHeight="1" x14ac:dyDescent="0.45">
      <c r="B90" s="23">
        <f t="shared" ref="B90" si="8">B85+1</f>
        <v>18</v>
      </c>
      <c r="C90" s="24" t="str">
        <f>"ﾘｽﾄ!C"&amp;B90+2</f>
        <v>ﾘｽﾄ!C20</v>
      </c>
      <c r="D90" s="44" t="str">
        <f>IFERROR(VLOOKUP($B90,ﾘｽﾄ!A:B,2,FALSE),"")</f>
        <v>DXビジネスソリューション部</v>
      </c>
      <c r="E90" s="108"/>
      <c r="F90" s="46" t="str" cm="1">
        <f t="array" aca="1" ref="F90" ca="1">HYPERLINK(INDIRECT(C90),D90)</f>
        <v>DXビジネスソリューション部</v>
      </c>
      <c r="G90" s="45"/>
    </row>
    <row r="91" spans="2:7" ht="19.95" customHeight="1" x14ac:dyDescent="0.45">
      <c r="D91" s="36"/>
      <c r="E91" s="106"/>
      <c r="F91" s="40"/>
      <c r="G91" s="39"/>
    </row>
    <row r="92" spans="2:7" ht="19.95" customHeight="1" x14ac:dyDescent="0.45">
      <c r="D92" s="36"/>
      <c r="E92" s="106"/>
      <c r="F92" s="40"/>
      <c r="G92" s="39"/>
    </row>
    <row r="93" spans="2:7" ht="19.95" customHeight="1" x14ac:dyDescent="0.45">
      <c r="D93" s="36"/>
      <c r="E93" s="106"/>
      <c r="F93" s="40"/>
      <c r="G93" s="39"/>
    </row>
    <row r="94" spans="2:7" ht="19.95" customHeight="1" x14ac:dyDescent="0.45">
      <c r="D94" s="41"/>
      <c r="E94" s="107"/>
      <c r="F94" s="42"/>
      <c r="G94" s="43"/>
    </row>
    <row r="95" spans="2:7" ht="19.95" customHeight="1" x14ac:dyDescent="0.45">
      <c r="B95" s="23">
        <f t="shared" ref="B95" si="9">B90+1</f>
        <v>19</v>
      </c>
      <c r="C95" s="24" t="str">
        <f>"ﾘｽﾄ!C"&amp;B95+2</f>
        <v>ﾘｽﾄ!C21</v>
      </c>
      <c r="D95" s="44" t="str">
        <f>IFERROR(VLOOKUP($B95,ﾘｽﾄ!A:B,2,FALSE),"")</f>
        <v>システムサービス部</v>
      </c>
      <c r="E95" s="108"/>
      <c r="F95" s="46" t="str" cm="1">
        <f t="array" aca="1" ref="F95" ca="1">HYPERLINK(INDIRECT(C95),D95)</f>
        <v>システムサービス部</v>
      </c>
      <c r="G95" s="45"/>
    </row>
    <row r="96" spans="2:7" ht="19.95" customHeight="1" x14ac:dyDescent="0.45">
      <c r="D96" s="36"/>
      <c r="E96" s="106"/>
      <c r="F96" s="40"/>
      <c r="G96" s="39"/>
    </row>
    <row r="97" spans="2:7" ht="19.95" customHeight="1" x14ac:dyDescent="0.45">
      <c r="D97" s="36"/>
      <c r="E97" s="106"/>
      <c r="F97" s="40"/>
      <c r="G97" s="39"/>
    </row>
    <row r="98" spans="2:7" ht="19.95" customHeight="1" x14ac:dyDescent="0.45">
      <c r="D98" s="36"/>
      <c r="E98" s="106"/>
      <c r="F98" s="40"/>
      <c r="G98" s="39"/>
    </row>
    <row r="99" spans="2:7" ht="19.95" customHeight="1" x14ac:dyDescent="0.45">
      <c r="D99" s="41"/>
      <c r="E99" s="107"/>
      <c r="F99" s="42"/>
      <c r="G99" s="43"/>
    </row>
    <row r="100" spans="2:7" ht="19.95" customHeight="1" x14ac:dyDescent="0.45">
      <c r="B100" s="23">
        <f t="shared" ref="B100" si="10">B95+1</f>
        <v>20</v>
      </c>
      <c r="C100" s="24" t="str">
        <f>"ﾘｽﾄ!C"&amp;B100+2</f>
        <v>ﾘｽﾄ!C22</v>
      </c>
      <c r="D100" s="44" t="str">
        <f>IFERROR(VLOOKUP($B100,ﾘｽﾄ!A:B,2,FALSE),"")</f>
        <v>DX・海外連携推進室</v>
      </c>
      <c r="E100" s="108"/>
      <c r="F100" s="46" t="str" cm="1">
        <f t="array" aca="1" ref="F100" ca="1">HYPERLINK(INDIRECT(C100),D100)</f>
        <v>DX・海外連携推進室</v>
      </c>
      <c r="G100" s="45"/>
    </row>
    <row r="101" spans="2:7" ht="19.95" customHeight="1" x14ac:dyDescent="0.45">
      <c r="D101" s="36"/>
      <c r="E101" s="106"/>
      <c r="F101" s="40"/>
      <c r="G101" s="39"/>
    </row>
    <row r="102" spans="2:7" ht="19.95" customHeight="1" x14ac:dyDescent="0.45">
      <c r="D102" s="36"/>
      <c r="E102" s="106"/>
      <c r="F102" s="40"/>
      <c r="G102" s="39"/>
    </row>
    <row r="103" spans="2:7" ht="19.95" customHeight="1" x14ac:dyDescent="0.45">
      <c r="D103" s="36"/>
      <c r="E103" s="106"/>
      <c r="F103" s="40"/>
      <c r="G103" s="39"/>
    </row>
    <row r="104" spans="2:7" ht="19.95" customHeight="1" x14ac:dyDescent="0.45">
      <c r="D104" s="41"/>
      <c r="E104" s="107"/>
      <c r="F104" s="42"/>
      <c r="G104" s="43"/>
    </row>
    <row r="105" spans="2:7" ht="19.95" customHeight="1" x14ac:dyDescent="0.45">
      <c r="B105" s="23">
        <f t="shared" ref="B105" si="11">B100+1</f>
        <v>21</v>
      </c>
      <c r="C105" s="24" t="str">
        <f>"ﾘｽﾄ!C"&amp;B105+2</f>
        <v>ﾘｽﾄ!C23</v>
      </c>
      <c r="D105" s="44" t="str">
        <f>IFERROR(VLOOKUP($B105,ﾘｽﾄ!A:B,2,FALSE),"")</f>
        <v>DX推進部</v>
      </c>
      <c r="E105" s="108"/>
      <c r="F105" s="46" t="str" cm="1">
        <f t="array" aca="1" ref="F105" ca="1">HYPERLINK(INDIRECT(C105),D105)</f>
        <v>DX推進部</v>
      </c>
      <c r="G105" s="45"/>
    </row>
    <row r="106" spans="2:7" ht="19.95" customHeight="1" x14ac:dyDescent="0.45">
      <c r="D106" s="36"/>
      <c r="E106" s="106"/>
      <c r="F106" s="40"/>
      <c r="G106" s="39"/>
    </row>
    <row r="107" spans="2:7" ht="19.95" customHeight="1" x14ac:dyDescent="0.45">
      <c r="D107" s="36"/>
      <c r="E107" s="106"/>
      <c r="F107" s="40"/>
      <c r="G107" s="39"/>
    </row>
    <row r="108" spans="2:7" ht="19.95" customHeight="1" x14ac:dyDescent="0.45">
      <c r="D108" s="36"/>
      <c r="E108" s="106"/>
      <c r="F108" s="40"/>
      <c r="G108" s="39"/>
    </row>
    <row r="109" spans="2:7" ht="19.95" customHeight="1" x14ac:dyDescent="0.45">
      <c r="D109" s="41"/>
      <c r="E109" s="107"/>
      <c r="F109" s="42"/>
      <c r="G109" s="43"/>
    </row>
    <row r="110" spans="2:7" ht="19.95" customHeight="1" x14ac:dyDescent="0.45">
      <c r="B110" s="23">
        <f t="shared" ref="B110" si="12">B105+1</f>
        <v>22</v>
      </c>
      <c r="C110" s="24" t="str">
        <f>"ﾘｽﾄ!C"&amp;B110+2</f>
        <v>ﾘｽﾄ!C24</v>
      </c>
      <c r="D110" s="44" t="str">
        <f>IFERROR(VLOOKUP($B110,ﾘｽﾄ!A:B,2,FALSE),"")</f>
        <v>DXプロデュース事業部</v>
      </c>
      <c r="E110" s="108" t="s">
        <v>136</v>
      </c>
      <c r="F110" s="46" t="str" cm="1">
        <f t="array" aca="1" ref="F110" ca="1">HYPERLINK(INDIRECT(C110),D110)</f>
        <v>DXプロデュース事業部</v>
      </c>
      <c r="G110" s="45"/>
    </row>
    <row r="111" spans="2:7" ht="19.95" customHeight="1" x14ac:dyDescent="0.45">
      <c r="D111" s="36"/>
      <c r="E111" s="106" t="s">
        <v>137</v>
      </c>
      <c r="F111" s="40"/>
      <c r="G111" s="39"/>
    </row>
    <row r="112" spans="2:7" ht="19.95" customHeight="1" x14ac:dyDescent="0.45">
      <c r="D112" s="36"/>
      <c r="E112" s="106"/>
      <c r="F112" s="40"/>
      <c r="G112" s="39"/>
    </row>
    <row r="113" spans="2:7" ht="19.95" customHeight="1" x14ac:dyDescent="0.45">
      <c r="D113" s="36"/>
      <c r="E113" s="106"/>
      <c r="F113" s="40"/>
      <c r="G113" s="39"/>
    </row>
    <row r="114" spans="2:7" ht="19.95" customHeight="1" x14ac:dyDescent="0.45">
      <c r="D114" s="41"/>
      <c r="E114" s="107"/>
      <c r="F114" s="42"/>
      <c r="G114" s="43"/>
    </row>
    <row r="115" spans="2:7" ht="19.95" customHeight="1" x14ac:dyDescent="0.45">
      <c r="B115" s="23">
        <f t="shared" ref="B115" si="13">B110+1</f>
        <v>23</v>
      </c>
      <c r="C115" s="24" t="str">
        <f>"ﾘｽﾄ!C"&amp;B115+2</f>
        <v>ﾘｽﾄ!C25</v>
      </c>
      <c r="D115" s="44" t="str">
        <f>IFERROR(VLOOKUP($B115,ﾘｽﾄ!A:B,2,FALSE),"")</f>
        <v>ビジネスプロデュース部</v>
      </c>
      <c r="E115" s="108"/>
      <c r="F115" s="46" t="str" cm="1">
        <f t="array" aca="1" ref="F115" ca="1">HYPERLINK(INDIRECT(C115),D115)</f>
        <v>ビジネスプロデュース部</v>
      </c>
      <c r="G115" s="45"/>
    </row>
    <row r="116" spans="2:7" ht="19.95" customHeight="1" x14ac:dyDescent="0.45">
      <c r="D116" s="36"/>
      <c r="E116" s="106"/>
      <c r="F116" s="40"/>
      <c r="G116" s="39"/>
    </row>
    <row r="117" spans="2:7" ht="19.95" customHeight="1" x14ac:dyDescent="0.45">
      <c r="D117" s="36"/>
      <c r="E117" s="106"/>
      <c r="F117" s="40"/>
      <c r="G117" s="39"/>
    </row>
    <row r="118" spans="2:7" ht="19.95" customHeight="1" x14ac:dyDescent="0.45">
      <c r="D118" s="36"/>
      <c r="E118" s="106"/>
      <c r="F118" s="40"/>
      <c r="G118" s="39"/>
    </row>
    <row r="119" spans="2:7" ht="19.95" customHeight="1" x14ac:dyDescent="0.45">
      <c r="D119" s="41"/>
      <c r="E119" s="107"/>
      <c r="F119" s="42"/>
      <c r="G119" s="43"/>
    </row>
    <row r="120" spans="2:7" ht="19.95" customHeight="1" x14ac:dyDescent="0.45">
      <c r="B120" s="23">
        <f t="shared" ref="B120" si="14">B115+1</f>
        <v>24</v>
      </c>
      <c r="C120" s="24" t="str">
        <f>"ﾘｽﾄ!C"&amp;B120+2</f>
        <v>ﾘｽﾄ!C26</v>
      </c>
      <c r="D120" s="44" t="str">
        <f>IFERROR(VLOOKUP($B120,ﾘｽﾄ!A:B,2,FALSE),"")</f>
        <v>インフラビジネス推進部</v>
      </c>
      <c r="E120" s="108"/>
      <c r="F120" s="46" t="str" cm="1">
        <f t="array" aca="1" ref="F120" ca="1">HYPERLINK(INDIRECT(C120),D120)</f>
        <v>インフラビジネス推進部</v>
      </c>
      <c r="G120" s="45"/>
    </row>
    <row r="121" spans="2:7" ht="19.95" customHeight="1" x14ac:dyDescent="0.45">
      <c r="D121" s="36"/>
      <c r="E121" s="106"/>
      <c r="F121" s="40"/>
      <c r="G121" s="39"/>
    </row>
    <row r="122" spans="2:7" ht="19.95" customHeight="1" x14ac:dyDescent="0.45">
      <c r="D122" s="36"/>
      <c r="E122" s="106"/>
      <c r="F122" s="40"/>
      <c r="G122" s="39"/>
    </row>
    <row r="123" spans="2:7" ht="19.95" customHeight="1" x14ac:dyDescent="0.45">
      <c r="D123" s="36"/>
      <c r="E123" s="106"/>
      <c r="F123" s="40"/>
      <c r="G123" s="39"/>
    </row>
    <row r="124" spans="2:7" ht="19.95" customHeight="1" x14ac:dyDescent="0.45">
      <c r="D124" s="41"/>
      <c r="E124" s="107"/>
      <c r="F124" s="42"/>
      <c r="G124" s="43"/>
    </row>
    <row r="125" spans="2:7" ht="19.95" customHeight="1" x14ac:dyDescent="0.45">
      <c r="B125" s="23">
        <f t="shared" ref="B125" si="15">B120+1</f>
        <v>25</v>
      </c>
      <c r="C125" s="24" t="str">
        <f>"ﾘｽﾄ!C"&amp;B125+2</f>
        <v>ﾘｽﾄ!C27</v>
      </c>
      <c r="D125" s="44" t="str">
        <f>IFERROR(VLOOKUP($B125,ﾘｽﾄ!A:B,2,FALSE),"")</f>
        <v>ビジネスプロデュース事業部</v>
      </c>
      <c r="E125" s="108"/>
      <c r="F125" s="46" t="str" cm="1">
        <f t="array" aca="1" ref="F125" ca="1">HYPERLINK(INDIRECT(C125),D125)</f>
        <v>ビジネスプロデュース事業部</v>
      </c>
      <c r="G125" s="45"/>
    </row>
    <row r="126" spans="2:7" ht="19.95" customHeight="1" x14ac:dyDescent="0.45">
      <c r="D126" s="36"/>
      <c r="E126" s="106"/>
      <c r="F126" s="40"/>
      <c r="G126" s="39"/>
    </row>
    <row r="127" spans="2:7" ht="19.95" customHeight="1" x14ac:dyDescent="0.45">
      <c r="D127" s="36"/>
      <c r="E127" s="106"/>
      <c r="F127" s="40"/>
      <c r="G127" s="39"/>
    </row>
    <row r="128" spans="2:7" ht="19.95" customHeight="1" x14ac:dyDescent="0.45">
      <c r="D128" s="36"/>
      <c r="E128" s="106"/>
      <c r="F128" s="40"/>
      <c r="G128" s="39"/>
    </row>
    <row r="129" spans="2:7" ht="19.95" customHeight="1" x14ac:dyDescent="0.45">
      <c r="D129" s="41"/>
      <c r="E129" s="107"/>
      <c r="F129" s="42"/>
      <c r="G129" s="43"/>
    </row>
    <row r="130" spans="2:7" ht="19.95" customHeight="1" x14ac:dyDescent="0.45">
      <c r="B130" s="23">
        <f t="shared" ref="B130" si="16">B125+1</f>
        <v>26</v>
      </c>
      <c r="C130" s="24" t="str">
        <f>"ﾘｽﾄ!C"&amp;B130+2</f>
        <v>ﾘｽﾄ!C28</v>
      </c>
      <c r="D130" s="44" t="str">
        <f>IFERROR(VLOOKUP($B130,ﾘｽﾄ!A:B,2,FALSE),"")</f>
        <v>西日本支社</v>
      </c>
      <c r="E130" s="108"/>
      <c r="F130" s="46" t="str" cm="1">
        <f t="array" aca="1" ref="F130" ca="1">HYPERLINK(INDIRECT(C130),D130)</f>
        <v>西日本支社</v>
      </c>
      <c r="G130" s="45"/>
    </row>
    <row r="131" spans="2:7" ht="19.95" customHeight="1" x14ac:dyDescent="0.45">
      <c r="D131" s="36"/>
      <c r="E131" s="106"/>
      <c r="F131" s="40"/>
      <c r="G131" s="39"/>
    </row>
    <row r="132" spans="2:7" ht="19.95" customHeight="1" x14ac:dyDescent="0.45">
      <c r="D132" s="36"/>
      <c r="E132" s="106"/>
      <c r="F132" s="40"/>
      <c r="G132" s="39"/>
    </row>
    <row r="133" spans="2:7" ht="19.95" customHeight="1" x14ac:dyDescent="0.45">
      <c r="D133" s="36"/>
      <c r="E133" s="106"/>
      <c r="F133" s="40"/>
      <c r="G133" s="39"/>
    </row>
    <row r="134" spans="2:7" ht="19.95" customHeight="1" x14ac:dyDescent="0.45">
      <c r="D134" s="41"/>
      <c r="E134" s="107"/>
      <c r="F134" s="42"/>
      <c r="G134" s="43"/>
    </row>
    <row r="135" spans="2:7" ht="19.95" customHeight="1" x14ac:dyDescent="0.45">
      <c r="B135" s="23">
        <f t="shared" ref="B135" si="17">B130+1</f>
        <v>27</v>
      </c>
      <c r="C135" s="24" t="str">
        <f>"ﾘｽﾄ!C"&amp;B135+2</f>
        <v>ﾘｽﾄ!C29</v>
      </c>
      <c r="D135" s="44" t="str">
        <f>IFERROR(VLOOKUP($B135,ﾘｽﾄ!A:B,2,FALSE),"")</f>
        <v>福岡支社</v>
      </c>
      <c r="E135" s="108"/>
      <c r="F135" s="46" t="str" cm="1">
        <f t="array" aca="1" ref="F135" ca="1">HYPERLINK(INDIRECT(C135),D135)</f>
        <v>福岡支社</v>
      </c>
      <c r="G135" s="45"/>
    </row>
    <row r="136" spans="2:7" ht="19.95" customHeight="1" x14ac:dyDescent="0.45">
      <c r="D136" s="36"/>
      <c r="E136" s="106"/>
      <c r="F136" s="40"/>
      <c r="G136" s="39"/>
    </row>
    <row r="137" spans="2:7" ht="19.95" customHeight="1" x14ac:dyDescent="0.45">
      <c r="D137" s="36"/>
      <c r="E137" s="106"/>
      <c r="F137" s="40"/>
      <c r="G137" s="39"/>
    </row>
    <row r="138" spans="2:7" ht="19.95" customHeight="1" x14ac:dyDescent="0.45">
      <c r="D138" s="36"/>
      <c r="E138" s="106"/>
      <c r="F138" s="40"/>
      <c r="G138" s="39"/>
    </row>
    <row r="139" spans="2:7" ht="19.95" customHeight="1" x14ac:dyDescent="0.45">
      <c r="D139" s="41"/>
      <c r="E139" s="107"/>
      <c r="F139" s="42"/>
      <c r="G139" s="43"/>
    </row>
    <row r="140" spans="2:7" ht="19.95" customHeight="1" x14ac:dyDescent="0.45">
      <c r="B140" s="23">
        <f t="shared" ref="B140" si="18">B135+1</f>
        <v>28</v>
      </c>
      <c r="C140" s="24" t="str">
        <f>"ﾘｽﾄ!C"&amp;B140+2</f>
        <v>ﾘｽﾄ!C30</v>
      </c>
      <c r="D140" s="44" t="str">
        <f>IFERROR(VLOOKUP($B140,ﾘｽﾄ!A:B,2,FALSE),"")</f>
        <v>公共ソリューション部</v>
      </c>
      <c r="E140" s="108"/>
      <c r="F140" s="46" t="str" cm="1">
        <f t="array" aca="1" ref="F140" ca="1">HYPERLINK(INDIRECT(C140),D140)</f>
        <v>公共ソリューション部</v>
      </c>
      <c r="G140" s="45"/>
    </row>
    <row r="141" spans="2:7" ht="19.95" customHeight="1" x14ac:dyDescent="0.45">
      <c r="D141" s="36"/>
      <c r="E141" s="106"/>
      <c r="F141" s="40"/>
      <c r="G141" s="39"/>
    </row>
    <row r="142" spans="2:7" ht="19.95" customHeight="1" x14ac:dyDescent="0.45">
      <c r="D142" s="36"/>
      <c r="E142" s="106"/>
      <c r="F142" s="40"/>
      <c r="G142" s="39"/>
    </row>
    <row r="143" spans="2:7" ht="19.95" customHeight="1" x14ac:dyDescent="0.45">
      <c r="D143" s="36"/>
      <c r="E143" s="106"/>
      <c r="F143" s="40"/>
      <c r="G143" s="39"/>
    </row>
    <row r="144" spans="2:7" ht="19.95" customHeight="1" x14ac:dyDescent="0.45">
      <c r="D144" s="41"/>
      <c r="E144" s="107"/>
      <c r="F144" s="42"/>
      <c r="G144" s="43"/>
    </row>
    <row r="145" spans="2:7" ht="19.95" customHeight="1" x14ac:dyDescent="0.45">
      <c r="B145" s="23">
        <f t="shared" ref="B145" si="19">B140+1</f>
        <v>29</v>
      </c>
      <c r="C145" s="24" t="str">
        <f t="shared" ref="C145" si="20">"ﾘｽﾄ!C"&amp;B145+2</f>
        <v>ﾘｽﾄ!C31</v>
      </c>
      <c r="D145" s="44" t="str">
        <f>IFERROR(VLOOKUP($B145,ﾘｽﾄ!A:B,2,FALSE),"")</f>
        <v>ソリューション開発部</v>
      </c>
      <c r="E145" s="108"/>
      <c r="F145" s="46" t="str" cm="1">
        <f t="array" aca="1" ref="F145" ca="1">HYPERLINK(INDIRECT(C145),D145)</f>
        <v>ソリューション開発部</v>
      </c>
      <c r="G145" s="45"/>
    </row>
    <row r="146" spans="2:7" ht="19.95" customHeight="1" x14ac:dyDescent="0.45">
      <c r="D146" s="36"/>
      <c r="E146" s="106"/>
      <c r="F146" s="40"/>
      <c r="G146" s="39"/>
    </row>
    <row r="147" spans="2:7" ht="19.95" customHeight="1" x14ac:dyDescent="0.45">
      <c r="D147" s="36"/>
      <c r="E147" s="106"/>
      <c r="F147" s="40"/>
      <c r="G147" s="39"/>
    </row>
    <row r="148" spans="2:7" ht="19.95" customHeight="1" x14ac:dyDescent="0.45">
      <c r="D148" s="36"/>
      <c r="E148" s="106"/>
      <c r="F148" s="40"/>
      <c r="G148" s="39"/>
    </row>
    <row r="149" spans="2:7" ht="19.95" customHeight="1" x14ac:dyDescent="0.45">
      <c r="D149" s="36"/>
      <c r="E149" s="106"/>
      <c r="F149" s="40"/>
      <c r="G149" s="39"/>
    </row>
    <row r="150" spans="2:7" ht="19.95" customHeight="1" x14ac:dyDescent="0.45">
      <c r="D150" s="41"/>
      <c r="E150" s="107"/>
      <c r="F150" s="42"/>
      <c r="G150" s="43"/>
    </row>
    <row r="151" spans="2:7" ht="19.95" customHeight="1" x14ac:dyDescent="0.45">
      <c r="B151" s="23">
        <f t="shared" ref="B151" si="21">B145+1</f>
        <v>30</v>
      </c>
      <c r="C151" s="24" t="str">
        <f t="shared" ref="C151" si="22">"ﾘｽﾄ!C"&amp;B151+2</f>
        <v>ﾘｽﾄ!C32</v>
      </c>
      <c r="D151" s="44" t="str">
        <f>IFERROR(VLOOKUP($B151,ﾘｽﾄ!A:B,2,FALSE),"")</f>
        <v>公共ソリューション開発センター</v>
      </c>
      <c r="E151" s="108"/>
      <c r="F151" s="46" t="str" cm="1">
        <f t="array" aca="1" ref="F151" ca="1">HYPERLINK(INDIRECT(C151),D151)</f>
        <v>公共ソリューション開発センター</v>
      </c>
      <c r="G151" s="45"/>
    </row>
    <row r="152" spans="2:7" ht="19.95" customHeight="1" x14ac:dyDescent="0.45">
      <c r="D152" s="36"/>
      <c r="E152" s="106"/>
      <c r="F152" s="40"/>
      <c r="G152" s="39"/>
    </row>
    <row r="153" spans="2:7" ht="19.95" customHeight="1" x14ac:dyDescent="0.45">
      <c r="D153" s="36"/>
      <c r="E153" s="106"/>
      <c r="F153" s="40"/>
      <c r="G153" s="39"/>
    </row>
    <row r="154" spans="2:7" ht="19.95" customHeight="1" x14ac:dyDescent="0.45">
      <c r="D154" s="36"/>
      <c r="E154" s="106"/>
      <c r="F154" s="40"/>
      <c r="G154" s="39"/>
    </row>
    <row r="155" spans="2:7" ht="19.95" customHeight="1" x14ac:dyDescent="0.45">
      <c r="D155" s="41"/>
      <c r="E155" s="107"/>
      <c r="F155" s="42"/>
      <c r="G155" s="43"/>
    </row>
    <row r="156" spans="2:7" ht="19.95" customHeight="1" x14ac:dyDescent="0.45">
      <c r="B156" s="23">
        <f t="shared" ref="B156" si="23">B151+1</f>
        <v>31</v>
      </c>
      <c r="C156" s="24" t="str">
        <f t="shared" ref="C156" si="24">"ﾘｽﾄ!C"&amp;B156+2</f>
        <v>ﾘｽﾄ!C33</v>
      </c>
      <c r="D156" s="44" t="str">
        <f>IFERROR(VLOOKUP($B156,ﾘｽﾄ!A:B,2,FALSE),"")</f>
        <v>システムプロデュース事業部</v>
      </c>
      <c r="E156" s="108"/>
      <c r="F156" s="46" t="str" cm="1">
        <f t="array" aca="1" ref="F156" ca="1">HYPERLINK(INDIRECT(C156),D156)</f>
        <v>システムプロデュース事業部</v>
      </c>
      <c r="G156" s="45"/>
    </row>
    <row r="157" spans="2:7" ht="19.95" customHeight="1" x14ac:dyDescent="0.45">
      <c r="D157" s="36"/>
      <c r="E157" s="106"/>
      <c r="F157" s="40"/>
      <c r="G157" s="39"/>
    </row>
    <row r="158" spans="2:7" ht="19.95" customHeight="1" x14ac:dyDescent="0.45">
      <c r="D158" s="36"/>
      <c r="E158" s="106"/>
      <c r="F158" s="40"/>
      <c r="G158" s="39"/>
    </row>
    <row r="159" spans="2:7" ht="19.95" customHeight="1" x14ac:dyDescent="0.45">
      <c r="D159" s="36"/>
      <c r="E159" s="106"/>
      <c r="F159" s="40"/>
      <c r="G159" s="39"/>
    </row>
    <row r="160" spans="2:7" ht="19.95" customHeight="1" x14ac:dyDescent="0.45">
      <c r="D160" s="41"/>
      <c r="E160" s="107"/>
      <c r="F160" s="42"/>
      <c r="G160" s="43"/>
    </row>
    <row r="161" spans="2:7" ht="19.95" customHeight="1" x14ac:dyDescent="0.45">
      <c r="B161" s="23">
        <f t="shared" ref="B161" si="25">B156+1</f>
        <v>32</v>
      </c>
      <c r="C161" s="24" t="str">
        <f t="shared" ref="C161" si="26">"ﾘｽﾄ!C"&amp;B161+2</f>
        <v>ﾘｽﾄ!C34</v>
      </c>
      <c r="D161" s="44" t="str">
        <f>IFERROR(VLOOKUP($B161,ﾘｽﾄ!A:B,2,FALSE),"")</f>
        <v>デジタルイノベーション推進部</v>
      </c>
      <c r="E161" s="108"/>
      <c r="F161" s="46" t="str" cm="1">
        <f t="array" aca="1" ref="F161" ca="1">HYPERLINK(INDIRECT(C161),D161)</f>
        <v>デジタルイノベーション推進部</v>
      </c>
      <c r="G161" s="45"/>
    </row>
    <row r="162" spans="2:7" ht="19.95" customHeight="1" x14ac:dyDescent="0.45">
      <c r="D162" s="36"/>
      <c r="E162" s="106"/>
      <c r="F162" s="40"/>
      <c r="G162" s="39"/>
    </row>
    <row r="163" spans="2:7" ht="19.95" customHeight="1" x14ac:dyDescent="0.45">
      <c r="D163" s="36"/>
      <c r="E163" s="106"/>
      <c r="F163" s="40"/>
      <c r="G163" s="39"/>
    </row>
    <row r="164" spans="2:7" ht="19.95" customHeight="1" x14ac:dyDescent="0.45">
      <c r="D164" s="36"/>
      <c r="E164" s="106"/>
      <c r="F164" s="40"/>
      <c r="G164" s="39"/>
    </row>
    <row r="165" spans="2:7" ht="19.95" customHeight="1" x14ac:dyDescent="0.45">
      <c r="D165" s="41"/>
      <c r="E165" s="107"/>
      <c r="F165" s="42"/>
      <c r="G165" s="43"/>
    </row>
    <row r="166" spans="2:7" ht="19.95" customHeight="1" x14ac:dyDescent="0.45">
      <c r="B166" s="23">
        <f t="shared" ref="B166" si="27">B161+1</f>
        <v>33</v>
      </c>
      <c r="C166" s="24" t="str">
        <f t="shared" ref="C166" si="28">"ﾘｽﾄ!C"&amp;B166+2</f>
        <v>ﾘｽﾄ!C35</v>
      </c>
      <c r="D166" s="44" t="str">
        <f>IFERROR(VLOOKUP($B166,ﾘｽﾄ!A:B,2,FALSE),"")</f>
        <v>施設予約サービス部</v>
      </c>
      <c r="E166" s="108"/>
      <c r="F166" s="46" t="str" cm="1">
        <f t="array" aca="1" ref="F166" ca="1">HYPERLINK(INDIRECT(C166),D166)</f>
        <v>施設予約サービス部</v>
      </c>
      <c r="G166" s="45"/>
    </row>
    <row r="167" spans="2:7" ht="19.95" customHeight="1" x14ac:dyDescent="0.45">
      <c r="D167" s="36"/>
      <c r="E167" s="106"/>
      <c r="F167" s="40"/>
      <c r="G167" s="39"/>
    </row>
    <row r="168" spans="2:7" ht="19.95" customHeight="1" x14ac:dyDescent="0.45">
      <c r="D168" s="36"/>
      <c r="E168" s="106"/>
      <c r="F168" s="40"/>
      <c r="G168" s="39"/>
    </row>
    <row r="169" spans="2:7" ht="19.95" customHeight="1" x14ac:dyDescent="0.45">
      <c r="D169" s="36"/>
      <c r="E169" s="106"/>
      <c r="F169" s="40"/>
      <c r="G169" s="39"/>
    </row>
    <row r="170" spans="2:7" ht="19.95" customHeight="1" x14ac:dyDescent="0.45">
      <c r="D170" s="41"/>
      <c r="E170" s="107"/>
      <c r="F170" s="42"/>
      <c r="G170" s="43"/>
    </row>
    <row r="171" spans="2:7" ht="19.95" customHeight="1" x14ac:dyDescent="0.45">
      <c r="B171" s="23">
        <f t="shared" ref="B171" si="29">B166+1</f>
        <v>34</v>
      </c>
      <c r="C171" s="24" t="str">
        <f t="shared" ref="C171" si="30">"ﾘｽﾄ!C"&amp;B171+2</f>
        <v>ﾘｽﾄ!C36</v>
      </c>
      <c r="D171" s="44" t="str">
        <f>IFERROR(VLOOKUP($B171,ﾘｽﾄ!A:B,2,FALSE),"")</f>
        <v>ソリューションサービス部</v>
      </c>
      <c r="E171" s="108"/>
      <c r="F171" s="46" t="str" cm="1">
        <f t="array" aca="1" ref="F171" ca="1">HYPERLINK(INDIRECT(C171),D171)</f>
        <v>ソリューションサービス部</v>
      </c>
      <c r="G171" s="45"/>
    </row>
    <row r="172" spans="2:7" ht="19.95" customHeight="1" x14ac:dyDescent="0.45">
      <c r="D172" s="36"/>
      <c r="E172" s="106"/>
      <c r="F172" s="40"/>
      <c r="G172" s="39"/>
    </row>
    <row r="173" spans="2:7" ht="19.95" customHeight="1" x14ac:dyDescent="0.45">
      <c r="D173" s="36"/>
      <c r="E173" s="106"/>
      <c r="F173" s="40"/>
      <c r="G173" s="39"/>
    </row>
    <row r="174" spans="2:7" ht="19.95" customHeight="1" x14ac:dyDescent="0.45">
      <c r="D174" s="36"/>
      <c r="E174" s="106"/>
      <c r="F174" s="40"/>
      <c r="G174" s="39"/>
    </row>
    <row r="175" spans="2:7" ht="19.95" customHeight="1" x14ac:dyDescent="0.45">
      <c r="D175" s="41"/>
      <c r="E175" s="107"/>
      <c r="F175" s="42"/>
      <c r="G175" s="43"/>
    </row>
    <row r="176" spans="2:7" ht="19.95" customHeight="1" x14ac:dyDescent="0.45">
      <c r="B176" s="23">
        <f t="shared" ref="B176" si="31">B171+1</f>
        <v>35</v>
      </c>
      <c r="C176" s="24" t="str">
        <f t="shared" ref="C176" si="32">"ﾘｽﾄ!C"&amp;B176+2</f>
        <v>ﾘｽﾄ!C37</v>
      </c>
      <c r="D176" s="44" t="str">
        <f>IFERROR(VLOOKUP($B176,ﾘｽﾄ!A:B,2,FALSE),"")</f>
        <v>ソリューション事業部</v>
      </c>
      <c r="E176" s="108"/>
      <c r="F176" s="46" t="str" cm="1">
        <f t="array" aca="1" ref="F176" ca="1">HYPERLINK(INDIRECT(C176),D176)</f>
        <v>ソリューション事業部</v>
      </c>
      <c r="G176" s="45"/>
    </row>
    <row r="177" spans="2:7" ht="19.95" customHeight="1" x14ac:dyDescent="0.45">
      <c r="D177" s="36"/>
      <c r="E177" s="106"/>
      <c r="F177" s="40"/>
      <c r="G177" s="39"/>
    </row>
    <row r="178" spans="2:7" ht="19.95" customHeight="1" x14ac:dyDescent="0.45">
      <c r="D178" s="36"/>
      <c r="E178" s="106"/>
      <c r="F178" s="40"/>
      <c r="G178" s="39"/>
    </row>
    <row r="179" spans="2:7" ht="19.95" customHeight="1" x14ac:dyDescent="0.45">
      <c r="D179" s="36"/>
      <c r="E179" s="106"/>
      <c r="F179" s="40"/>
      <c r="G179" s="39"/>
    </row>
    <row r="180" spans="2:7" ht="19.95" customHeight="1" x14ac:dyDescent="0.45">
      <c r="D180" s="41"/>
      <c r="E180" s="107"/>
      <c r="F180" s="42"/>
      <c r="G180" s="43"/>
    </row>
    <row r="181" spans="2:7" ht="19.95" customHeight="1" x14ac:dyDescent="0.45">
      <c r="B181" s="23">
        <f t="shared" ref="B181" si="33">B176+1</f>
        <v>36</v>
      </c>
      <c r="C181" s="24" t="str">
        <f t="shared" ref="C181" si="34">"ﾘｽﾄ!C"&amp;B181+2</f>
        <v>ﾘｽﾄ!C38</v>
      </c>
      <c r="D181" s="44" t="str">
        <f>IFERROR(VLOOKUP($B181,ﾘｽﾄ!A:B,2,FALSE),"")</f>
        <v>東京本社マネジメント推進部</v>
      </c>
      <c r="E181" s="108"/>
      <c r="F181" s="46" t="str" cm="1">
        <f t="array" aca="1" ref="F181" ca="1">HYPERLINK(INDIRECT(C181),D181)</f>
        <v>東京本社マネジメント推進部</v>
      </c>
      <c r="G181" s="45"/>
    </row>
    <row r="182" spans="2:7" ht="19.95" customHeight="1" x14ac:dyDescent="0.45">
      <c r="D182" s="36"/>
      <c r="E182" s="106"/>
      <c r="F182" s="40"/>
      <c r="G182" s="39"/>
    </row>
    <row r="183" spans="2:7" ht="19.95" customHeight="1" x14ac:dyDescent="0.45">
      <c r="D183" s="36"/>
      <c r="E183" s="106"/>
      <c r="F183" s="40"/>
      <c r="G183" s="39"/>
    </row>
    <row r="184" spans="2:7" ht="19.95" customHeight="1" x14ac:dyDescent="0.45">
      <c r="D184" s="36"/>
      <c r="E184" s="106"/>
      <c r="F184" s="40"/>
      <c r="G184" s="39"/>
    </row>
    <row r="185" spans="2:7" ht="19.95" customHeight="1" x14ac:dyDescent="0.45">
      <c r="D185" s="41"/>
      <c r="E185" s="107"/>
      <c r="F185" s="42"/>
      <c r="G185" s="43"/>
    </row>
    <row r="186" spans="2:7" ht="19.95" customHeight="1" x14ac:dyDescent="0.45">
      <c r="B186" s="23">
        <f t="shared" ref="B186" si="35">B181+1</f>
        <v>37</v>
      </c>
      <c r="C186" s="24" t="str">
        <f t="shared" ref="C186" si="36">"ﾘｽﾄ!C"&amp;B186+2</f>
        <v>ﾘｽﾄ!C39</v>
      </c>
      <c r="D186" s="44" t="str">
        <f>IFERROR(VLOOKUP($B186,ﾘｽﾄ!A:B,2,FALSE),"")</f>
        <v>佐藤執行役員</v>
      </c>
      <c r="E186" s="108"/>
      <c r="F186" s="46" t="str" cm="1">
        <f t="array" aca="1" ref="F186" ca="1">HYPERLINK(INDIRECT(C186),D186)</f>
        <v>佐藤執行役員</v>
      </c>
      <c r="G186" s="45"/>
    </row>
    <row r="187" spans="2:7" ht="19.95" customHeight="1" x14ac:dyDescent="0.45">
      <c r="D187" s="36"/>
      <c r="E187" s="106"/>
      <c r="F187" s="40"/>
      <c r="G187" s="39"/>
    </row>
    <row r="188" spans="2:7" ht="19.95" customHeight="1" x14ac:dyDescent="0.45">
      <c r="D188" s="36"/>
      <c r="E188" s="106"/>
      <c r="F188" s="40"/>
      <c r="G188" s="39"/>
    </row>
    <row r="189" spans="2:7" ht="19.95" customHeight="1" x14ac:dyDescent="0.45">
      <c r="D189" s="36"/>
      <c r="E189" s="106"/>
      <c r="F189" s="40"/>
      <c r="G189" s="39"/>
    </row>
    <row r="190" spans="2:7" ht="19.95" customHeight="1" x14ac:dyDescent="0.45">
      <c r="D190" s="47"/>
      <c r="E190" s="107"/>
      <c r="F190" s="42"/>
      <c r="G190" s="43"/>
    </row>
    <row r="191" spans="2:7" ht="19.95" customHeight="1" x14ac:dyDescent="0.45">
      <c r="B191" s="23">
        <f t="shared" ref="B191" si="37">B186+1</f>
        <v>38</v>
      </c>
      <c r="C191" s="24" t="str">
        <f t="shared" ref="C191" si="38">"ﾘｽﾄ!C"&amp;B191+2</f>
        <v>ﾘｽﾄ!C40</v>
      </c>
      <c r="D191" s="44" t="str">
        <f>IFERROR(VLOOKUP($B191,ﾘｽﾄ!A:B,2,FALSE),"")</f>
        <v>中島常務執行役員</v>
      </c>
      <c r="E191" s="108"/>
      <c r="F191" s="46" t="str" cm="1">
        <f t="array" aca="1" ref="F191" ca="1">HYPERLINK(INDIRECT(C191),D191)</f>
        <v>中島常務執行役員</v>
      </c>
      <c r="G191" s="45"/>
    </row>
    <row r="192" spans="2:7" ht="19.95" customHeight="1" x14ac:dyDescent="0.45">
      <c r="D192" s="36"/>
      <c r="E192" s="106"/>
      <c r="F192" s="40"/>
      <c r="G192" s="39"/>
    </row>
    <row r="193" spans="2:7" ht="19.95" customHeight="1" x14ac:dyDescent="0.45">
      <c r="D193" s="36"/>
      <c r="E193" s="106"/>
      <c r="F193" s="40"/>
      <c r="G193" s="39"/>
    </row>
    <row r="194" spans="2:7" ht="19.95" customHeight="1" x14ac:dyDescent="0.45">
      <c r="D194" s="36"/>
      <c r="E194" s="106"/>
      <c r="F194" s="40"/>
      <c r="G194" s="39"/>
    </row>
    <row r="195" spans="2:7" ht="19.95" customHeight="1" x14ac:dyDescent="0.45">
      <c r="D195" s="47"/>
      <c r="E195" s="107"/>
      <c r="F195" s="42"/>
      <c r="G195" s="43"/>
    </row>
    <row r="196" spans="2:7" ht="19.95" customHeight="1" x14ac:dyDescent="0.45">
      <c r="B196" s="23">
        <f t="shared" ref="B196" si="39">B191+1</f>
        <v>39</v>
      </c>
      <c r="C196" s="24" t="str">
        <f t="shared" ref="C196" si="40">"ﾘｽﾄ!C"&amp;B196+2</f>
        <v>ﾘｽﾄ!C41</v>
      </c>
      <c r="D196" s="44" t="str">
        <f>IFERROR(VLOOKUP($B196,ﾘｽﾄ!A:B,2,FALSE),"")</f>
        <v>河野取締役</v>
      </c>
      <c r="E196" s="108"/>
      <c r="F196" s="46" t="str" cm="1">
        <f t="array" aca="1" ref="F196" ca="1">HYPERLINK(INDIRECT(C196),D196)</f>
        <v>河野取締役</v>
      </c>
      <c r="G196" s="45"/>
    </row>
    <row r="197" spans="2:7" ht="19.95" customHeight="1" x14ac:dyDescent="0.45">
      <c r="D197" s="36"/>
      <c r="E197" s="106"/>
      <c r="F197" s="40"/>
      <c r="G197" s="39"/>
    </row>
    <row r="198" spans="2:7" ht="19.95" customHeight="1" x14ac:dyDescent="0.45">
      <c r="D198" s="36"/>
      <c r="E198" s="106"/>
      <c r="F198" s="40"/>
      <c r="G198" s="39"/>
    </row>
    <row r="199" spans="2:7" ht="19.95" customHeight="1" x14ac:dyDescent="0.45">
      <c r="D199" s="36"/>
      <c r="E199" s="106"/>
      <c r="F199" s="40"/>
      <c r="G199" s="39"/>
    </row>
    <row r="200" spans="2:7" ht="19.95" customHeight="1" x14ac:dyDescent="0.45">
      <c r="D200" s="47"/>
      <c r="E200" s="107"/>
      <c r="F200" s="42"/>
      <c r="G200" s="43"/>
    </row>
    <row r="201" spans="2:7" ht="19.95" customHeight="1" x14ac:dyDescent="0.45">
      <c r="B201" s="23">
        <f t="shared" ref="B201" si="41">B196+1</f>
        <v>40</v>
      </c>
      <c r="C201" s="24" t="str">
        <f t="shared" ref="C201" si="42">"ﾘｽﾄ!C"&amp;B201+2</f>
        <v>ﾘｽﾄ!C42</v>
      </c>
      <c r="D201" s="44" t="str">
        <f>IFERROR(VLOOKUP($B201,ﾘｽﾄ!A:B,2,FALSE),"")</f>
        <v>安東常務</v>
      </c>
      <c r="E201" s="108"/>
      <c r="F201" s="46" t="str" cm="1">
        <f t="array" aca="1" ref="F201" ca="1">HYPERLINK(INDIRECT(C201),D201)</f>
        <v>安東常務</v>
      </c>
      <c r="G201" s="45"/>
    </row>
    <row r="202" spans="2:7" ht="19.95" customHeight="1" x14ac:dyDescent="0.45">
      <c r="D202" s="36"/>
      <c r="E202" s="106"/>
      <c r="F202" s="40"/>
      <c r="G202" s="39"/>
    </row>
    <row r="203" spans="2:7" ht="19.95" customHeight="1" x14ac:dyDescent="0.45">
      <c r="D203" s="36"/>
      <c r="E203" s="106"/>
      <c r="F203" s="40"/>
      <c r="G203" s="39"/>
    </row>
    <row r="204" spans="2:7" ht="19.95" customHeight="1" x14ac:dyDescent="0.45">
      <c r="D204" s="36"/>
      <c r="E204" s="106"/>
      <c r="F204" s="40"/>
      <c r="G204" s="39"/>
    </row>
    <row r="205" spans="2:7" ht="19.95" customHeight="1" x14ac:dyDescent="0.45">
      <c r="D205" s="47"/>
      <c r="E205" s="107"/>
      <c r="F205" s="42"/>
      <c r="G205" s="43"/>
    </row>
    <row r="206" spans="2:7" ht="19.95" customHeight="1" x14ac:dyDescent="0.45">
      <c r="B206" s="23">
        <f t="shared" ref="B206" si="43">B201+1</f>
        <v>41</v>
      </c>
      <c r="C206" s="24" t="str">
        <f t="shared" ref="C206" si="44">"ﾘｽﾄ!C"&amp;B206+2</f>
        <v>ﾘｽﾄ!C43</v>
      </c>
      <c r="D206" s="44" t="str">
        <f>IFERROR(VLOOKUP($B206,ﾘｽﾄ!A:B,2,FALSE),"")</f>
        <v>岡田常務</v>
      </c>
      <c r="E206" s="108"/>
      <c r="F206" s="46" t="str" cm="1">
        <f t="array" aca="1" ref="F206" ca="1">HYPERLINK(INDIRECT(C206),D206)</f>
        <v>岡田常務</v>
      </c>
      <c r="G206" s="45"/>
    </row>
    <row r="207" spans="2:7" ht="19.95" customHeight="1" x14ac:dyDescent="0.45">
      <c r="D207" s="36"/>
      <c r="E207" s="106"/>
      <c r="F207" s="40"/>
      <c r="G207" s="39"/>
    </row>
    <row r="208" spans="2:7" ht="19.95" customHeight="1" x14ac:dyDescent="0.45">
      <c r="D208" s="36"/>
      <c r="E208" s="106"/>
      <c r="F208" s="40"/>
      <c r="G208" s="39"/>
    </row>
    <row r="209" spans="2:7" ht="19.95" customHeight="1" x14ac:dyDescent="0.45">
      <c r="D209" s="36"/>
      <c r="E209" s="106"/>
      <c r="F209" s="40"/>
      <c r="G209" s="39"/>
    </row>
    <row r="210" spans="2:7" ht="19.95" customHeight="1" x14ac:dyDescent="0.45">
      <c r="D210" s="47"/>
      <c r="E210" s="107"/>
      <c r="F210" s="42"/>
      <c r="G210" s="43"/>
    </row>
    <row r="211" spans="2:7" ht="19.95" customHeight="1" x14ac:dyDescent="0.45">
      <c r="B211" s="23">
        <f t="shared" ref="B211" si="45">B206+1</f>
        <v>42</v>
      </c>
      <c r="C211" s="24" t="str">
        <f t="shared" ref="C211" si="46">"ﾘｽﾄ!C"&amp;B211+2</f>
        <v>ﾘｽﾄ!C44</v>
      </c>
      <c r="D211" s="44" t="str">
        <f>IFERROR(VLOOKUP($B211,ﾘｽﾄ!A:B,2,FALSE),"")</f>
        <v>加藤社長</v>
      </c>
      <c r="E211" s="108"/>
      <c r="F211" s="46" t="str" cm="1">
        <f t="array" aca="1" ref="F211" ca="1">HYPERLINK(INDIRECT(C211),D211)</f>
        <v>加藤社長</v>
      </c>
      <c r="G211" s="45"/>
    </row>
    <row r="212" spans="2:7" ht="19.95" customHeight="1" x14ac:dyDescent="0.45">
      <c r="D212" s="36"/>
      <c r="E212" s="106"/>
      <c r="F212" s="40"/>
      <c r="G212" s="39"/>
    </row>
    <row r="213" spans="2:7" ht="19.95" customHeight="1" x14ac:dyDescent="0.45">
      <c r="D213" s="36"/>
      <c r="E213" s="106"/>
      <c r="F213" s="40"/>
      <c r="G213" s="39"/>
    </row>
    <row r="214" spans="2:7" ht="19.95" customHeight="1" x14ac:dyDescent="0.45">
      <c r="D214" s="36"/>
      <c r="E214" s="106"/>
      <c r="F214" s="40"/>
      <c r="G214" s="39"/>
    </row>
    <row r="215" spans="2:7" ht="19.95" customHeight="1" thickBot="1" x14ac:dyDescent="0.5">
      <c r="D215" s="48"/>
      <c r="E215" s="109"/>
      <c r="F215" s="49"/>
      <c r="G215" s="50"/>
    </row>
    <row r="216" spans="2:7" x14ac:dyDescent="0.45">
      <c r="D216" s="111"/>
      <c r="E216" s="112"/>
      <c r="F216" s="113"/>
      <c r="G216" s="112"/>
    </row>
  </sheetData>
  <phoneticPr fontId="1"/>
  <hyperlinks>
    <hyperlink ref="F1" location="ﾘｽﾄ!A1" display="格納先一覧はこちら" xr:uid="{844A06B6-D9D8-459E-A358-EF1ABD326CAD}"/>
  </hyperlinks>
  <printOptions horizontalCentered="1"/>
  <pageMargins left="0" right="0" top="0" bottom="0" header="0.31496062992125984" footer="0.31496062992125984"/>
  <pageSetup paperSize="8" scale="72" fitToHeight="3" orientation="portrait" horizontalDpi="1200" verticalDpi="1200" r:id="rId1"/>
  <rowBreaks count="2" manualBreakCount="2">
    <brk id="79" min="3" max="6" man="1"/>
    <brk id="144" min="3" max="6"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AC16C-BA9F-4B26-A505-B1FA972BCEB6}">
  <sheetPr codeName="Sheet14"/>
  <dimension ref="A1:G44"/>
  <sheetViews>
    <sheetView showGridLines="0" workbookViewId="0">
      <selection activeCell="A147" sqref="A147"/>
    </sheetView>
  </sheetViews>
  <sheetFormatPr defaultColWidth="8.69921875" defaultRowHeight="15" outlineLevelCol="1" x14ac:dyDescent="0.45"/>
  <cols>
    <col min="1" max="1" width="5.5" style="19" bestFit="1" customWidth="1"/>
    <col min="2" max="2" width="28.09765625" style="11" bestFit="1" customWidth="1"/>
    <col min="3" max="3" width="98.19921875" style="11" bestFit="1" customWidth="1"/>
    <col min="4" max="4" width="29.69921875" style="11" hidden="1" customWidth="1" outlineLevel="1"/>
    <col min="5" max="5" width="8.69921875" style="11" collapsed="1"/>
    <col min="6" max="6" width="8.8984375" style="11" bestFit="1" customWidth="1"/>
    <col min="7" max="16384" width="8.69921875" style="11"/>
  </cols>
  <sheetData>
    <row r="1" spans="1:7" ht="15.6" thickBot="1" x14ac:dyDescent="0.5">
      <c r="D1" s="133">
        <v>41</v>
      </c>
      <c r="E1" s="11" t="s">
        <v>1420</v>
      </c>
    </row>
    <row r="2" spans="1:7" s="10" customFormat="1" ht="15.6" thickBot="1" x14ac:dyDescent="0.5">
      <c r="A2" s="19"/>
      <c r="B2" s="21" t="s">
        <v>1421</v>
      </c>
      <c r="C2" s="22" t="s">
        <v>1422</v>
      </c>
      <c r="D2" s="133" t="str">
        <f>IFERROR(VLOOKUP(D1,$A$3:$D$44,4,FALSE),"")</f>
        <v>41_岡田常務</v>
      </c>
      <c r="F2" s="12"/>
      <c r="G2" s="11"/>
    </row>
    <row r="3" spans="1:7" ht="18" customHeight="1" x14ac:dyDescent="0.45">
      <c r="A3" s="19">
        <v>1</v>
      </c>
      <c r="B3" s="104" t="s">
        <v>1423</v>
      </c>
      <c r="C3" s="167" t="s">
        <v>1424</v>
      </c>
      <c r="D3" s="11" t="str">
        <f>IF(LEN(A3)=1,"0"&amp;A3&amp;"_"&amp;B3,A3&amp;"_"&amp;B3)</f>
        <v>01_総務部</v>
      </c>
    </row>
    <row r="4" spans="1:7" ht="18" customHeight="1" x14ac:dyDescent="0.45">
      <c r="A4" s="19">
        <v>2</v>
      </c>
      <c r="B4" s="103" t="s">
        <v>1425</v>
      </c>
      <c r="C4" s="15" t="s">
        <v>1426</v>
      </c>
      <c r="D4" s="11" t="str">
        <f t="shared" ref="D4:D44" si="0">IF(LEN(A4)=1,"0"&amp;A4&amp;"_"&amp;B4,A4&amp;"_"&amp;B4)</f>
        <v>02_人事部</v>
      </c>
    </row>
    <row r="5" spans="1:7" ht="18" customHeight="1" x14ac:dyDescent="0.45">
      <c r="A5" s="19">
        <v>3</v>
      </c>
      <c r="B5" s="18" t="s">
        <v>1427</v>
      </c>
      <c r="C5" s="17" t="s">
        <v>1428</v>
      </c>
      <c r="D5" s="11" t="str">
        <f t="shared" si="0"/>
        <v>03_総務・人事統括部</v>
      </c>
    </row>
    <row r="6" spans="1:7" ht="18" customHeight="1" x14ac:dyDescent="0.45">
      <c r="A6" s="19">
        <v>4</v>
      </c>
      <c r="B6" s="18" t="s">
        <v>1429</v>
      </c>
      <c r="C6" s="17" t="s">
        <v>1430</v>
      </c>
      <c r="D6" s="11" t="str">
        <f t="shared" si="0"/>
        <v>04_経営戦略室</v>
      </c>
    </row>
    <row r="7" spans="1:7" ht="18" customHeight="1" x14ac:dyDescent="0.45">
      <c r="A7" s="19">
        <v>5</v>
      </c>
      <c r="B7" s="18" t="s">
        <v>1431</v>
      </c>
      <c r="C7" s="17" t="s">
        <v>1432</v>
      </c>
      <c r="D7" s="11" t="str">
        <f t="shared" si="0"/>
        <v>05_経営管理部</v>
      </c>
    </row>
    <row r="8" spans="1:7" ht="18" customHeight="1" x14ac:dyDescent="0.45">
      <c r="A8" s="19">
        <v>6</v>
      </c>
      <c r="B8" s="18" t="s">
        <v>1433</v>
      </c>
      <c r="C8" s="17" t="s">
        <v>1434</v>
      </c>
      <c r="D8" s="11" t="str">
        <f t="shared" si="0"/>
        <v>06_財務部</v>
      </c>
    </row>
    <row r="9" spans="1:7" ht="18" customHeight="1" x14ac:dyDescent="0.45">
      <c r="A9" s="19">
        <v>7</v>
      </c>
      <c r="B9" s="16" t="s">
        <v>1435</v>
      </c>
      <c r="C9" s="17" t="s">
        <v>1436</v>
      </c>
      <c r="D9" s="11" t="str">
        <f t="shared" si="0"/>
        <v>07_経営戦略・管理・財務統括部</v>
      </c>
    </row>
    <row r="10" spans="1:7" ht="18" customHeight="1" x14ac:dyDescent="0.45">
      <c r="A10" s="19">
        <v>8</v>
      </c>
      <c r="B10" s="16" t="s">
        <v>1437</v>
      </c>
      <c r="C10" s="17" t="s">
        <v>1438</v>
      </c>
      <c r="D10" s="11" t="str">
        <f t="shared" si="0"/>
        <v>08_公共第1プロデュース部</v>
      </c>
    </row>
    <row r="11" spans="1:7" ht="18" customHeight="1" x14ac:dyDescent="0.45">
      <c r="A11" s="19">
        <v>9</v>
      </c>
      <c r="B11" s="16" t="s">
        <v>1439</v>
      </c>
      <c r="C11" s="17" t="s">
        <v>1440</v>
      </c>
      <c r="D11" s="11" t="str">
        <f t="shared" si="0"/>
        <v>09_公共第2プロデュース部</v>
      </c>
    </row>
    <row r="12" spans="1:7" ht="18" customHeight="1" x14ac:dyDescent="0.45">
      <c r="A12" s="19">
        <v>10</v>
      </c>
      <c r="B12" s="16" t="s">
        <v>1441</v>
      </c>
      <c r="C12" s="17" t="s">
        <v>1442</v>
      </c>
      <c r="D12" s="11" t="str">
        <f t="shared" si="0"/>
        <v>10_公共DX推進部</v>
      </c>
    </row>
    <row r="13" spans="1:7" ht="18" customHeight="1" x14ac:dyDescent="0.45">
      <c r="A13" s="19">
        <v>11</v>
      </c>
      <c r="B13" s="16" t="s">
        <v>1443</v>
      </c>
      <c r="C13" s="17" t="s">
        <v>1444</v>
      </c>
      <c r="D13" s="11" t="str">
        <f t="shared" si="0"/>
        <v>11_社会インフラサービス部</v>
      </c>
    </row>
    <row r="14" spans="1:7" ht="18" customHeight="1" x14ac:dyDescent="0.45">
      <c r="A14" s="19">
        <v>12</v>
      </c>
      <c r="B14" s="16" t="s">
        <v>1445</v>
      </c>
      <c r="C14" s="17" t="s">
        <v>1446</v>
      </c>
      <c r="D14" s="11" t="str">
        <f t="shared" si="0"/>
        <v>12_公共ビジネス事業部</v>
      </c>
    </row>
    <row r="15" spans="1:7" ht="18" customHeight="1" x14ac:dyDescent="0.45">
      <c r="A15" s="19">
        <v>13</v>
      </c>
      <c r="B15" s="16" t="s">
        <v>1447</v>
      </c>
      <c r="C15" s="17" t="s">
        <v>1448</v>
      </c>
      <c r="D15" s="11" t="str">
        <f t="shared" si="0"/>
        <v>13_ITサービスマネジメント部</v>
      </c>
    </row>
    <row r="16" spans="1:7" ht="18" customHeight="1" x14ac:dyDescent="0.45">
      <c r="A16" s="19">
        <v>14</v>
      </c>
      <c r="B16" s="20" t="s">
        <v>1449</v>
      </c>
      <c r="C16" s="17" t="s">
        <v>1450</v>
      </c>
      <c r="D16" s="11" t="str">
        <f t="shared" si="0"/>
        <v>14_標準化・ガバメントクラウド推進部</v>
      </c>
    </row>
    <row r="17" spans="1:4" ht="18" customHeight="1" x14ac:dyDescent="0.45">
      <c r="A17" s="19">
        <v>15</v>
      </c>
      <c r="B17" s="16" t="s">
        <v>1451</v>
      </c>
      <c r="C17" s="17" t="s">
        <v>1452</v>
      </c>
      <c r="D17" s="11" t="str">
        <f t="shared" si="0"/>
        <v>15_ITサービス事業部</v>
      </c>
    </row>
    <row r="18" spans="1:4" ht="18" customHeight="1" x14ac:dyDescent="0.45">
      <c r="A18" s="19">
        <v>16</v>
      </c>
      <c r="B18" s="16" t="s">
        <v>1453</v>
      </c>
      <c r="C18" s="17" t="s">
        <v>1454</v>
      </c>
      <c r="D18" s="11" t="str">
        <f t="shared" si="0"/>
        <v>16_DXビジネスプロデュース部</v>
      </c>
    </row>
    <row r="19" spans="1:4" ht="18" customHeight="1" x14ac:dyDescent="0.45">
      <c r="A19" s="19">
        <v>17</v>
      </c>
      <c r="B19" s="16" t="s">
        <v>1455</v>
      </c>
      <c r="C19" s="17" t="s">
        <v>1456</v>
      </c>
      <c r="D19" s="11" t="str">
        <f t="shared" si="0"/>
        <v>17_九州ビジネスプロデュース部</v>
      </c>
    </row>
    <row r="20" spans="1:4" ht="18" customHeight="1" x14ac:dyDescent="0.45">
      <c r="A20" s="19">
        <v>18</v>
      </c>
      <c r="B20" s="16" t="s">
        <v>1457</v>
      </c>
      <c r="C20" s="17" t="s">
        <v>1458</v>
      </c>
      <c r="D20" s="11" t="str">
        <f t="shared" si="0"/>
        <v>18_DXビジネスソリューション部</v>
      </c>
    </row>
    <row r="21" spans="1:4" ht="18" customHeight="1" x14ac:dyDescent="0.45">
      <c r="A21" s="19">
        <v>19</v>
      </c>
      <c r="B21" s="16" t="s">
        <v>1459</v>
      </c>
      <c r="C21" s="17" t="s">
        <v>1460</v>
      </c>
      <c r="D21" s="11" t="str">
        <f t="shared" si="0"/>
        <v>19_システムサービス部</v>
      </c>
    </row>
    <row r="22" spans="1:4" ht="18" customHeight="1" x14ac:dyDescent="0.45">
      <c r="A22" s="19">
        <v>20</v>
      </c>
      <c r="B22" s="16" t="s">
        <v>1461</v>
      </c>
      <c r="C22" s="17" t="s">
        <v>1462</v>
      </c>
      <c r="D22" s="11" t="str">
        <f t="shared" si="0"/>
        <v>20_DX・海外連携推進室</v>
      </c>
    </row>
    <row r="23" spans="1:4" ht="18" customHeight="1" x14ac:dyDescent="0.45">
      <c r="A23" s="19">
        <v>21</v>
      </c>
      <c r="B23" s="16" t="s">
        <v>1463</v>
      </c>
      <c r="C23" s="17" t="s">
        <v>1464</v>
      </c>
      <c r="D23" s="11" t="str">
        <f t="shared" si="0"/>
        <v>21_DX推進部</v>
      </c>
    </row>
    <row r="24" spans="1:4" ht="18" customHeight="1" x14ac:dyDescent="0.45">
      <c r="A24" s="19">
        <v>22</v>
      </c>
      <c r="B24" s="16" t="s">
        <v>1465</v>
      </c>
      <c r="C24" s="17" t="s">
        <v>1466</v>
      </c>
      <c r="D24" s="11" t="str">
        <f t="shared" si="0"/>
        <v>22_DXプロデュース事業部</v>
      </c>
    </row>
    <row r="25" spans="1:4" ht="18" customHeight="1" x14ac:dyDescent="0.45">
      <c r="A25" s="19">
        <v>23</v>
      </c>
      <c r="B25" s="16" t="s">
        <v>1467</v>
      </c>
      <c r="C25" s="17" t="s">
        <v>1468</v>
      </c>
      <c r="D25" s="11" t="str">
        <f t="shared" si="0"/>
        <v>23_ビジネスプロデュース部</v>
      </c>
    </row>
    <row r="26" spans="1:4" ht="18" customHeight="1" x14ac:dyDescent="0.45">
      <c r="A26" s="19">
        <v>24</v>
      </c>
      <c r="B26" s="16" t="s">
        <v>1469</v>
      </c>
      <c r="C26" s="17" t="s">
        <v>1470</v>
      </c>
      <c r="D26" s="11" t="str">
        <f t="shared" si="0"/>
        <v>24_インフラビジネス推進部</v>
      </c>
    </row>
    <row r="27" spans="1:4" ht="18" customHeight="1" x14ac:dyDescent="0.45">
      <c r="A27" s="19">
        <v>25</v>
      </c>
      <c r="B27" s="16" t="s">
        <v>1471</v>
      </c>
      <c r="C27" s="17" t="s">
        <v>1472</v>
      </c>
      <c r="D27" s="11" t="str">
        <f t="shared" si="0"/>
        <v>25_ビジネスプロデュース事業部</v>
      </c>
    </row>
    <row r="28" spans="1:4" ht="18" customHeight="1" x14ac:dyDescent="0.45">
      <c r="A28" s="19">
        <v>26</v>
      </c>
      <c r="B28" s="16" t="s">
        <v>1473</v>
      </c>
      <c r="C28" s="17" t="s">
        <v>1474</v>
      </c>
      <c r="D28" s="11" t="str">
        <f t="shared" si="0"/>
        <v>26_西日本支社</v>
      </c>
    </row>
    <row r="29" spans="1:4" ht="18" customHeight="1" x14ac:dyDescent="0.45">
      <c r="A29" s="19">
        <v>27</v>
      </c>
      <c r="B29" s="16" t="s">
        <v>1475</v>
      </c>
      <c r="C29" s="17" t="s">
        <v>1476</v>
      </c>
      <c r="D29" s="11" t="str">
        <f t="shared" si="0"/>
        <v>27_福岡支社</v>
      </c>
    </row>
    <row r="30" spans="1:4" ht="18" customHeight="1" x14ac:dyDescent="0.45">
      <c r="A30" s="19">
        <v>28</v>
      </c>
      <c r="B30" s="16" t="s">
        <v>1477</v>
      </c>
      <c r="C30" s="17" t="s">
        <v>1478</v>
      </c>
      <c r="D30" s="11" t="str">
        <f t="shared" si="0"/>
        <v>28_公共ソリューション部</v>
      </c>
    </row>
    <row r="31" spans="1:4" ht="18" customHeight="1" x14ac:dyDescent="0.45">
      <c r="A31" s="19">
        <v>29</v>
      </c>
      <c r="B31" s="16" t="s">
        <v>1479</v>
      </c>
      <c r="C31" s="17" t="s">
        <v>1480</v>
      </c>
      <c r="D31" s="11" t="str">
        <f t="shared" si="0"/>
        <v>29_ソリューション開発部</v>
      </c>
    </row>
    <row r="32" spans="1:4" ht="18" customHeight="1" x14ac:dyDescent="0.45">
      <c r="A32" s="19">
        <v>30</v>
      </c>
      <c r="B32" s="16" t="s">
        <v>1481</v>
      </c>
      <c r="C32" s="17" t="s">
        <v>1482</v>
      </c>
      <c r="D32" s="11" t="str">
        <f t="shared" si="0"/>
        <v>30_公共ソリューション開発センター</v>
      </c>
    </row>
    <row r="33" spans="1:7" ht="18" customHeight="1" x14ac:dyDescent="0.45">
      <c r="A33" s="19">
        <v>31</v>
      </c>
      <c r="B33" s="16" t="s">
        <v>1483</v>
      </c>
      <c r="C33" s="17" t="s">
        <v>1484</v>
      </c>
      <c r="D33" s="11" t="str">
        <f t="shared" si="0"/>
        <v>31_システムプロデュース事業部</v>
      </c>
    </row>
    <row r="34" spans="1:7" ht="18" customHeight="1" x14ac:dyDescent="0.45">
      <c r="A34" s="19">
        <v>32</v>
      </c>
      <c r="B34" s="16" t="s">
        <v>1485</v>
      </c>
      <c r="C34" s="17" t="s">
        <v>1486</v>
      </c>
      <c r="D34" s="11" t="str">
        <f t="shared" si="0"/>
        <v>32_デジタルイノベーション推進部</v>
      </c>
    </row>
    <row r="35" spans="1:7" ht="18" customHeight="1" x14ac:dyDescent="0.45">
      <c r="A35" s="19">
        <v>33</v>
      </c>
      <c r="B35" s="16" t="s">
        <v>1487</v>
      </c>
      <c r="C35" s="17" t="s">
        <v>1488</v>
      </c>
      <c r="D35" s="11" t="str">
        <f t="shared" si="0"/>
        <v>33_施設予約サービス部</v>
      </c>
    </row>
    <row r="36" spans="1:7" ht="18" customHeight="1" x14ac:dyDescent="0.45">
      <c r="A36" s="19">
        <v>34</v>
      </c>
      <c r="B36" s="16" t="s">
        <v>1489</v>
      </c>
      <c r="C36" s="17" t="s">
        <v>1490</v>
      </c>
      <c r="D36" s="11" t="str">
        <f t="shared" si="0"/>
        <v>34_ソリューションサービス部</v>
      </c>
    </row>
    <row r="37" spans="1:7" ht="18" customHeight="1" x14ac:dyDescent="0.45">
      <c r="A37" s="19">
        <v>35</v>
      </c>
      <c r="B37" s="16" t="s">
        <v>1491</v>
      </c>
      <c r="C37" s="17" t="s">
        <v>1492</v>
      </c>
      <c r="D37" s="11" t="str">
        <f t="shared" si="0"/>
        <v>35_ソリューション事業部</v>
      </c>
    </row>
    <row r="38" spans="1:7" ht="18" customHeight="1" x14ac:dyDescent="0.45">
      <c r="A38" s="19">
        <v>36</v>
      </c>
      <c r="B38" s="16" t="s">
        <v>1493</v>
      </c>
      <c r="C38" s="137" t="s">
        <v>1494</v>
      </c>
      <c r="D38" s="11" t="str">
        <f t="shared" si="0"/>
        <v>36_東京本社マネジメント推進部</v>
      </c>
      <c r="F38" s="10"/>
    </row>
    <row r="39" spans="1:7" ht="18" customHeight="1" x14ac:dyDescent="0.45">
      <c r="A39" s="19">
        <v>37</v>
      </c>
      <c r="B39" s="14" t="s">
        <v>1495</v>
      </c>
      <c r="C39" s="15" t="s">
        <v>1496</v>
      </c>
      <c r="D39" s="11" t="str">
        <f t="shared" si="0"/>
        <v>37_佐藤執行役員</v>
      </c>
      <c r="F39" s="10"/>
      <c r="G39" s="13"/>
    </row>
    <row r="40" spans="1:7" ht="18" customHeight="1" x14ac:dyDescent="0.45">
      <c r="A40" s="19">
        <v>38</v>
      </c>
      <c r="B40" s="16" t="s">
        <v>1497</v>
      </c>
      <c r="C40" s="17" t="s">
        <v>1498</v>
      </c>
      <c r="D40" s="11" t="str">
        <f t="shared" si="0"/>
        <v>38_中島常務執行役員</v>
      </c>
      <c r="F40" s="10"/>
    </row>
    <row r="41" spans="1:7" ht="18" customHeight="1" x14ac:dyDescent="0.45">
      <c r="A41" s="19">
        <v>39</v>
      </c>
      <c r="B41" s="16" t="s">
        <v>1499</v>
      </c>
      <c r="C41" s="17" t="s">
        <v>1500</v>
      </c>
      <c r="D41" s="11" t="str">
        <f t="shared" si="0"/>
        <v>39_河野取締役</v>
      </c>
    </row>
    <row r="42" spans="1:7" ht="18" customHeight="1" x14ac:dyDescent="0.45">
      <c r="A42" s="19">
        <v>40</v>
      </c>
      <c r="B42" s="16" t="s">
        <v>1501</v>
      </c>
      <c r="C42" s="17" t="s">
        <v>1502</v>
      </c>
      <c r="D42" s="11" t="str">
        <f t="shared" si="0"/>
        <v>40_安東常務</v>
      </c>
    </row>
    <row r="43" spans="1:7" ht="18" customHeight="1" x14ac:dyDescent="0.45">
      <c r="A43" s="19">
        <v>41</v>
      </c>
      <c r="B43" s="16" t="s">
        <v>1503</v>
      </c>
      <c r="C43" s="17" t="s">
        <v>1504</v>
      </c>
      <c r="D43" s="11" t="str">
        <f t="shared" si="0"/>
        <v>41_岡田常務</v>
      </c>
    </row>
    <row r="44" spans="1:7" ht="18" customHeight="1" thickBot="1" x14ac:dyDescent="0.5">
      <c r="A44" s="19">
        <v>42</v>
      </c>
      <c r="B44" s="105" t="s">
        <v>1505</v>
      </c>
      <c r="C44" s="166" t="s">
        <v>1506</v>
      </c>
      <c r="D44" s="11" t="str">
        <f t="shared" si="0"/>
        <v>42_加藤社長</v>
      </c>
    </row>
  </sheetData>
  <phoneticPr fontId="1"/>
  <hyperlinks>
    <hyperlink ref="C3" r:id="rId1" xr:uid="{9B3F6B18-E407-44CE-854F-AF9627D9EDFA}"/>
    <hyperlink ref="C4" r:id="rId2" xr:uid="{2BA5DB22-859E-4EE8-ADAD-56890E5F04B7}"/>
    <hyperlink ref="C5" r:id="rId3" display="\\10.100.1.232\oec1\LEVEL_C_UP\CU250_業務週報V2.0\2023年度\01_総務・人事統括部" xr:uid="{F15CAF1F-B691-47DF-A6D7-4AA6E6364596}"/>
    <hyperlink ref="C6" r:id="rId4" display="\\10.100.1.232\oec1\LEVEL_C_UP\CU250_業務週報V2.0\2023年度\05_経営戦略室" xr:uid="{EDF5F25F-AD93-4C1E-9A87-9B4364D2A2D0}"/>
    <hyperlink ref="C7" r:id="rId5" display="\\10.100.1.232\oec1\LEVEL_C_UP\CU250_業務週報V2.0\2023年度\06_経営管理部" xr:uid="{CF9D1DDF-E482-43F9-8BD7-74904360A03D}"/>
    <hyperlink ref="C8" r:id="rId6" display="\\10.100.1.232\oec1\LEVEL_C_UP\CU250_業務週報V2.0\2023年度\07_財務部" xr:uid="{B09D60F3-3928-4C0B-B4AE-477DE62905D2}"/>
    <hyperlink ref="C24" r:id="rId7" display="\\10.100.1.232\oec1\LEVEL_C_UP\CU250_業務週報V2.0\2023年度\16_ＤＸプロデュース事業部" xr:uid="{D4C6FF8E-8150-43CC-883E-813A1ED79575}"/>
    <hyperlink ref="C17" r:id="rId8" display="\\10.100.1.232\oec1\LEVEL_C_UP\CU250_業務週報V2.0\2023年度\13_ＩＴサービス事業部" xr:uid="{5CFAD697-DB92-486F-BE13-A1D0FC2278E2}"/>
    <hyperlink ref="C23" r:id="rId9" display="\\10.100.1.232\oec1\LEVEL_C_UP\CU250_業務週報V2.0\2023年度\22_ＤＸ推進部" xr:uid="{2E3A6D02-9C66-4591-BF34-9A48F799EABB}"/>
    <hyperlink ref="C22" r:id="rId10" display="\\10.100.1.232\oec1\LEVEL_C_UP\CU250_業務週報V2.0\2023年度\21_ＤＸ・海外連携推進室" xr:uid="{3B78ED20-DF4E-43F4-8F56-A9F1125C86D9}"/>
    <hyperlink ref="C21" r:id="rId11" display="\\10.100.1.232\oec1\LEVEL_C_UP\CU250_業務週報V2.0\2023年度\20_システムサービス部" xr:uid="{22ACA432-64CD-4BE1-970B-BF324F2C1EC9}"/>
    <hyperlink ref="C20" r:id="rId12" display="\\10.100.1.232\oec1\LEVEL_C_UP\CU250_業務週報V2.0\2023年度\19_ＤＸビジネスソリューション部" xr:uid="{6D6E2363-0851-4469-BCDC-CF1FDB9F07D0}"/>
    <hyperlink ref="C19" r:id="rId13" display="\\10.100.1.232\oec1\LEVEL_C_UP\CU250_業務週報V2.0\2023年度\18_ＤＸビジネスプロデュース部" xr:uid="{9AE4039E-9D6A-4BDB-A9CC-29D781092D99}"/>
    <hyperlink ref="C18" r:id="rId14" display="\\10.100.1.232\oec1\LEVEL_C_UP\CU250_業務週報V2.0\2023年度\17_ビジネスグロース推進室" xr:uid="{16B50274-FE41-4D99-9114-A35A93CC32CB}"/>
    <hyperlink ref="C14" r:id="rId15" display="\\10.100.1.232\oec1\LEVEL_C_UP\CU250_業務週報V2.0\2023年度\08_公共ビジネス事業部" xr:uid="{AAF7142C-7C43-436E-BF4F-BB2FA79BCC77}"/>
    <hyperlink ref="C15" r:id="rId16" display="\\10.100.1.232\oec1\LEVEL_C_UP\CU250_業務週報V2.0\2023年度\15_ＩＴサービスマネジメント部" xr:uid="{E62E160E-6ED7-495E-B423-057A2A900725}"/>
    <hyperlink ref="C16" r:id="rId17" display="\\10.100.1.232\oec1\LEVEL_C_UP\CU250_業務週報V2.0\2023年度\14_ＩＴサービスプロモート部" xr:uid="{6C001951-EE44-4541-B7DA-806934E11357}"/>
    <hyperlink ref="C9" r:id="rId18" display="\\10.100.1.232\oec1\LEVEL_C_UP\CU250_業務週報V2.0\2023年度\04_経営戦略・管理・財務統括部" xr:uid="{9DCE79F9-C27D-4A01-B479-6E4B81BA69AF}"/>
    <hyperlink ref="C13" r:id="rId19" display="\\10.100.1.232\oec1\LEVEL_C_UP\CU250_業務週報V2.0\2023年度\11_公共ＤＸ推進部" xr:uid="{95EE5CB8-F382-4471-9706-70A2327D1EAB}"/>
    <hyperlink ref="C12" r:id="rId20" display="\\10.100.1.232\oec1\LEVEL_C_UP\CU250_業務週報V2.0\2023年度\12_社会インフラサービス部" xr:uid="{2643B2DF-47BB-4F2D-B1E9-5491925A1C7D}"/>
    <hyperlink ref="C11" r:id="rId21" display="\\10.100.1.232\oec1\LEVEL_C_UP\CU250_業務週報V2.0\2023年度\10_公共第２プロデュース部" xr:uid="{E8EAD34C-3746-4BBF-99C8-8A62D8B4D440}"/>
    <hyperlink ref="C10" r:id="rId22" display="\\10.100.1.232\oec1\LEVEL_C_UP\CU250_業務週報V2.0\2023年度\09_公共第１プロデュース部" xr:uid="{B5E3D0C3-6497-4693-A38C-4605185BABF6}"/>
    <hyperlink ref="C43" r:id="rId23" xr:uid="{3B7F3500-A2A3-49E3-A872-29C5550EDEA1}"/>
    <hyperlink ref="C42" r:id="rId24" xr:uid="{F0940303-7746-41AF-8590-2C4D4AC45E1A}"/>
    <hyperlink ref="C40" r:id="rId25" xr:uid="{E9ACD115-1D2E-4E8E-9295-BF73FE55047B}"/>
    <hyperlink ref="C39" r:id="rId26" display="\\10.100.1.232\oec1\LEVEL_C_UP\CU250_業務週報V2.0\2023年度\37_執行役員_佐藤執行役員" xr:uid="{760E8BA5-8377-4B0E-856A-E6250C07DFF3}"/>
    <hyperlink ref="C38" r:id="rId27" xr:uid="{4446EB78-0F29-499A-B11B-4AB3FFF2CD97}"/>
    <hyperlink ref="C44" r:id="rId28" xr:uid="{CB050021-0AB8-4FBE-B0E6-3C30FCF20C21}"/>
    <hyperlink ref="C41" r:id="rId29" xr:uid="{C3AB04CB-0B45-4839-8BC2-B370FC9A407C}"/>
    <hyperlink ref="C35" r:id="rId30" display="\\10.100.1.232\oec1\LEVEL_C_UP\CU250_業務週報V2.0\2023年度\16_ＤＸプロデュース事業部" xr:uid="{D0907585-2B3E-4FA8-8816-37B014762361}"/>
    <hyperlink ref="C36" r:id="rId31" display="\\10.100.1.232\oec1\LEVEL_C_UP\CU250_業務週報V2.0\2023年度\13_ＩＴサービス事業部" xr:uid="{12924716-5FC8-4F55-8163-DD72BD9FAFEF}"/>
    <hyperlink ref="C30" r:id="rId32" display="\\10.100.1.232\oec1\LEVEL_C_UP\CU250_業務週報V2.0\2023年度\22_ＤＸ推進部" xr:uid="{349984C4-008D-4D79-B172-25BBA5C18938}"/>
    <hyperlink ref="C34" r:id="rId33" display="\\10.100.1.232\oec1\LEVEL_C_UP\CU250_業務週報V2.0\2023年度\21_ＤＸ・海外連携推進室" xr:uid="{C1135F33-D152-4B48-A844-D6B0C974C482}"/>
    <hyperlink ref="C33" r:id="rId34" display="\\10.100.1.232\oec1\LEVEL_C_UP\CU250_業務週報V2.0\2023年度\20_システムサービス部" xr:uid="{97770B09-3CAD-44C7-BB88-33A7B8254F3D}"/>
    <hyperlink ref="C32" r:id="rId35" display="\\10.100.1.232\oec1\LEVEL_C_UP\CU250_業務週報V2.0\2023年度\19_ＤＸビジネスソリューション部" xr:uid="{148032DA-26CB-424E-B681-91C6BEBADC41}"/>
    <hyperlink ref="C31" r:id="rId36" display="\\10.100.1.232\oec1\LEVEL_C_UP\CU250_業務週報V2.0\2023年度\18_ＤＸビジネスプロデュース部" xr:uid="{3233E9E9-D632-4BFF-B7D0-450320BB37E7}"/>
    <hyperlink ref="C29" r:id="rId37" display="\\10.100.1.232\oec1\LEVEL_C_UP\CU250_業務週報V2.0\2023年度\08_公共ビジネス事業部" xr:uid="{9D732873-BFAE-48F0-AF47-1608B1BE3980}"/>
    <hyperlink ref="C28" r:id="rId38" display="\\10.100.1.232\oec1\LEVEL_C_UP\CU250_業務週報V2.0\2023年度\15_ＩＴサービスマネジメント部" xr:uid="{ABA40013-2747-422F-9090-84B5FFD8AC1D}"/>
    <hyperlink ref="C27" r:id="rId39" display="\\10.100.1.232\oec1\LEVEL_C_UP\CU250_業務週報V2.0\2023年度\14_ＩＴサービスプロモート部" xr:uid="{DE7A572E-F602-4716-A434-B766FCE72F14}"/>
    <hyperlink ref="C25" r:id="rId40" display="\\10.100.1.232\oec1\LEVEL_C_UP\CU250_業務週報V2.0\2023年度\04_経営戦略・管理・財務統括部" xr:uid="{6C61038F-321F-46D3-B757-027CAAAA8E5D}"/>
  </hyperlinks>
  <pageMargins left="0.7" right="0.7" top="0.75" bottom="0.75" header="0.3" footer="0.3"/>
  <pageSetup paperSize="9" orientation="portrait" r:id="rId4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B9A3D-23D1-434D-A0B2-9CFA41BF4512}">
  <sheetPr codeName="Sheet26"/>
  <dimension ref="A2:O55"/>
  <sheetViews>
    <sheetView showGridLines="0" showZeros="0" workbookViewId="0">
      <selection activeCell="A147" sqref="A147"/>
    </sheetView>
  </sheetViews>
  <sheetFormatPr defaultColWidth="8.69921875" defaultRowHeight="14.4" x14ac:dyDescent="0.45"/>
  <cols>
    <col min="1" max="7" width="8.69921875" style="1"/>
    <col min="8" max="8" width="3.5" style="1" customWidth="1"/>
    <col min="9" max="9" width="3.5" style="125" customWidth="1"/>
    <col min="10" max="10" width="3.5" style="123" customWidth="1"/>
    <col min="11" max="11" width="9.19921875" style="1" bestFit="1" customWidth="1"/>
    <col min="12" max="13" width="8.69921875" style="1"/>
    <col min="14" max="14" width="9.19921875" style="121" bestFit="1" customWidth="1"/>
    <col min="15" max="16384" width="8.69921875" style="1"/>
  </cols>
  <sheetData>
    <row r="2" spans="1:15" s="2" customFormat="1" x14ac:dyDescent="0.45">
      <c r="A2" s="2" t="s">
        <v>1507</v>
      </c>
      <c r="B2" s="2" t="s">
        <v>1508</v>
      </c>
      <c r="C2" s="2" t="s">
        <v>1509</v>
      </c>
      <c r="D2" s="2" t="s">
        <v>1510</v>
      </c>
      <c r="E2" s="2" t="s">
        <v>1511</v>
      </c>
      <c r="F2" s="119" t="s">
        <v>1512</v>
      </c>
      <c r="G2" s="119" t="s">
        <v>1513</v>
      </c>
      <c r="I2" s="124"/>
      <c r="J2" s="122"/>
      <c r="N2" s="120" t="s">
        <v>1514</v>
      </c>
    </row>
    <row r="3" spans="1:15" x14ac:dyDescent="0.45">
      <c r="A3" s="117">
        <v>45383</v>
      </c>
      <c r="B3" s="117">
        <f>A3+1</f>
        <v>45384</v>
      </c>
      <c r="C3" s="117">
        <f t="shared" ref="C3:G3" si="0">B3+1</f>
        <v>45385</v>
      </c>
      <c r="D3" s="117">
        <f t="shared" si="0"/>
        <v>45386</v>
      </c>
      <c r="E3" s="117">
        <f t="shared" si="0"/>
        <v>45387</v>
      </c>
      <c r="F3" s="118">
        <f t="shared" si="0"/>
        <v>45388</v>
      </c>
      <c r="G3" s="118">
        <f t="shared" si="0"/>
        <v>45389</v>
      </c>
      <c r="H3" s="117"/>
      <c r="I3" s="125">
        <f>IF(J3=0,"",COUNTIFS(J$3:J3,1))</f>
        <v>1</v>
      </c>
      <c r="J3" s="123">
        <f>COUNTA(K3)</f>
        <v>1</v>
      </c>
      <c r="K3" s="117">
        <f>A3</f>
        <v>45383</v>
      </c>
      <c r="L3" s="117">
        <f>E3</f>
        <v>45387</v>
      </c>
      <c r="M3" s="117"/>
      <c r="N3" s="121">
        <v>45411</v>
      </c>
      <c r="O3" s="1" t="s">
        <v>1515</v>
      </c>
    </row>
    <row r="4" spans="1:15" x14ac:dyDescent="0.45">
      <c r="A4" s="117">
        <f>A3+7</f>
        <v>45390</v>
      </c>
      <c r="B4" s="117">
        <f t="shared" ref="B4:G4" si="1">A4+1</f>
        <v>45391</v>
      </c>
      <c r="C4" s="117">
        <f t="shared" si="1"/>
        <v>45392</v>
      </c>
      <c r="D4" s="117">
        <f t="shared" si="1"/>
        <v>45393</v>
      </c>
      <c r="E4" s="117">
        <f t="shared" si="1"/>
        <v>45394</v>
      </c>
      <c r="F4" s="118">
        <f t="shared" si="1"/>
        <v>45395</v>
      </c>
      <c r="G4" s="118">
        <f t="shared" si="1"/>
        <v>45396</v>
      </c>
      <c r="I4" s="125">
        <f>IF(J4=0,"",COUNTIFS(J$3:J4,1))</f>
        <v>2</v>
      </c>
      <c r="J4" s="123">
        <f t="shared" ref="J4:J54" si="2">COUNTA(K4)</f>
        <v>1</v>
      </c>
      <c r="K4" s="117">
        <f t="shared" ref="K4:K6" si="3">A4</f>
        <v>45390</v>
      </c>
      <c r="L4" s="117">
        <f t="shared" ref="L4:L6" si="4">E4</f>
        <v>45394</v>
      </c>
      <c r="N4" s="121">
        <v>45415</v>
      </c>
      <c r="O4" s="1" t="s">
        <v>1516</v>
      </c>
    </row>
    <row r="5" spans="1:15" x14ac:dyDescent="0.45">
      <c r="A5" s="117">
        <f t="shared" ref="A5:A19" si="5">A4+7</f>
        <v>45397</v>
      </c>
      <c r="B5" s="117">
        <f t="shared" ref="B5:G5" si="6">A5+1</f>
        <v>45398</v>
      </c>
      <c r="C5" s="117">
        <f t="shared" si="6"/>
        <v>45399</v>
      </c>
      <c r="D5" s="117">
        <f t="shared" si="6"/>
        <v>45400</v>
      </c>
      <c r="E5" s="117">
        <f t="shared" si="6"/>
        <v>45401</v>
      </c>
      <c r="F5" s="118">
        <f t="shared" si="6"/>
        <v>45402</v>
      </c>
      <c r="G5" s="118">
        <f t="shared" si="6"/>
        <v>45403</v>
      </c>
      <c r="I5" s="125">
        <f>IF(J5=0,"",COUNTIFS(J$3:J5,1))</f>
        <v>3</v>
      </c>
      <c r="J5" s="123">
        <f t="shared" si="2"/>
        <v>1</v>
      </c>
      <c r="K5" s="117">
        <f t="shared" si="3"/>
        <v>45397</v>
      </c>
      <c r="L5" s="117">
        <f t="shared" si="4"/>
        <v>45401</v>
      </c>
      <c r="N5" s="121">
        <v>45416</v>
      </c>
      <c r="O5" s="1" t="s">
        <v>1517</v>
      </c>
    </row>
    <row r="6" spans="1:15" x14ac:dyDescent="0.45">
      <c r="A6" s="117">
        <f t="shared" si="5"/>
        <v>45404</v>
      </c>
      <c r="B6" s="117">
        <f t="shared" ref="B6:G6" si="7">A6+1</f>
        <v>45405</v>
      </c>
      <c r="C6" s="117">
        <f t="shared" si="7"/>
        <v>45406</v>
      </c>
      <c r="D6" s="117">
        <f t="shared" si="7"/>
        <v>45407</v>
      </c>
      <c r="E6" s="117">
        <f t="shared" si="7"/>
        <v>45408</v>
      </c>
      <c r="F6" s="118">
        <f t="shared" si="7"/>
        <v>45409</v>
      </c>
      <c r="G6" s="118">
        <f t="shared" si="7"/>
        <v>45410</v>
      </c>
      <c r="I6" s="125">
        <f>IF(J6=0,"",COUNTIFS(J$3:J6,1))</f>
        <v>4</v>
      </c>
      <c r="J6" s="123">
        <f t="shared" si="2"/>
        <v>1</v>
      </c>
      <c r="K6" s="117">
        <f t="shared" si="3"/>
        <v>45404</v>
      </c>
      <c r="L6" s="117">
        <f t="shared" si="4"/>
        <v>45408</v>
      </c>
      <c r="N6" s="121">
        <v>45417</v>
      </c>
      <c r="O6" s="1" t="s">
        <v>1518</v>
      </c>
    </row>
    <row r="7" spans="1:15" x14ac:dyDescent="0.45">
      <c r="A7" s="117">
        <f t="shared" si="5"/>
        <v>45411</v>
      </c>
      <c r="B7" s="117">
        <f t="shared" ref="B7:G7" si="8">A7+1</f>
        <v>45412</v>
      </c>
      <c r="C7" s="117">
        <f t="shared" si="8"/>
        <v>45413</v>
      </c>
      <c r="D7" s="117">
        <f t="shared" si="8"/>
        <v>45414</v>
      </c>
      <c r="E7" s="117">
        <f t="shared" si="8"/>
        <v>45415</v>
      </c>
      <c r="F7" s="118">
        <f t="shared" si="8"/>
        <v>45416</v>
      </c>
      <c r="G7" s="118">
        <f t="shared" si="8"/>
        <v>45417</v>
      </c>
      <c r="I7" s="125" t="str">
        <f>IF(J7=0,"",COUNTIFS(J$3:J7,1))</f>
        <v/>
      </c>
      <c r="J7" s="123">
        <f t="shared" si="2"/>
        <v>0</v>
      </c>
      <c r="N7" s="121">
        <v>45418</v>
      </c>
      <c r="O7" s="1" t="s">
        <v>1519</v>
      </c>
    </row>
    <row r="8" spans="1:15" x14ac:dyDescent="0.45">
      <c r="A8" s="117">
        <f t="shared" si="5"/>
        <v>45418</v>
      </c>
      <c r="B8" s="117">
        <f t="shared" ref="B8:G8" si="9">A8+1</f>
        <v>45419</v>
      </c>
      <c r="C8" s="117">
        <f t="shared" si="9"/>
        <v>45420</v>
      </c>
      <c r="D8" s="117">
        <f t="shared" si="9"/>
        <v>45421</v>
      </c>
      <c r="E8" s="117">
        <f t="shared" si="9"/>
        <v>45422</v>
      </c>
      <c r="F8" s="118">
        <f t="shared" si="9"/>
        <v>45423</v>
      </c>
      <c r="G8" s="118">
        <f t="shared" si="9"/>
        <v>45424</v>
      </c>
      <c r="I8" s="125">
        <f>IF(J8=0,"",COUNTIFS(J$3:J8,1))</f>
        <v>5</v>
      </c>
      <c r="J8" s="123">
        <f t="shared" si="2"/>
        <v>1</v>
      </c>
      <c r="K8" s="117">
        <f>B7</f>
        <v>45412</v>
      </c>
      <c r="L8" s="117">
        <f>E8</f>
        <v>45422</v>
      </c>
      <c r="N8" s="121">
        <v>45488</v>
      </c>
      <c r="O8" s="1" t="s">
        <v>1520</v>
      </c>
    </row>
    <row r="9" spans="1:15" x14ac:dyDescent="0.45">
      <c r="A9" s="117">
        <f t="shared" si="5"/>
        <v>45425</v>
      </c>
      <c r="B9" s="117">
        <f t="shared" ref="B9:G9" si="10">A9+1</f>
        <v>45426</v>
      </c>
      <c r="C9" s="117">
        <f t="shared" si="10"/>
        <v>45427</v>
      </c>
      <c r="D9" s="117">
        <f t="shared" si="10"/>
        <v>45428</v>
      </c>
      <c r="E9" s="117">
        <f t="shared" si="10"/>
        <v>45429</v>
      </c>
      <c r="F9" s="118">
        <f t="shared" si="10"/>
        <v>45430</v>
      </c>
      <c r="G9" s="118">
        <f t="shared" si="10"/>
        <v>45431</v>
      </c>
      <c r="I9" s="125">
        <f>IF(J9=0,"",COUNTIFS(J$3:J9,1))</f>
        <v>6</v>
      </c>
      <c r="J9" s="123">
        <f t="shared" si="2"/>
        <v>1</v>
      </c>
      <c r="K9" s="117">
        <f t="shared" ref="K9:K17" si="11">A9</f>
        <v>45425</v>
      </c>
      <c r="L9" s="117">
        <f t="shared" ref="L9:L17" si="12">E9</f>
        <v>45429</v>
      </c>
      <c r="N9" s="121">
        <v>45515</v>
      </c>
      <c r="O9" s="1" t="s">
        <v>1521</v>
      </c>
    </row>
    <row r="10" spans="1:15" x14ac:dyDescent="0.45">
      <c r="A10" s="117">
        <f t="shared" si="5"/>
        <v>45432</v>
      </c>
      <c r="B10" s="117">
        <f t="shared" ref="B10:G10" si="13">A10+1</f>
        <v>45433</v>
      </c>
      <c r="C10" s="117">
        <f t="shared" si="13"/>
        <v>45434</v>
      </c>
      <c r="D10" s="117">
        <f t="shared" si="13"/>
        <v>45435</v>
      </c>
      <c r="E10" s="117">
        <f t="shared" si="13"/>
        <v>45436</v>
      </c>
      <c r="F10" s="118">
        <f t="shared" si="13"/>
        <v>45437</v>
      </c>
      <c r="G10" s="118">
        <f t="shared" si="13"/>
        <v>45438</v>
      </c>
      <c r="I10" s="125">
        <f>IF(J10=0,"",COUNTIFS(J$3:J10,1))</f>
        <v>7</v>
      </c>
      <c r="J10" s="123">
        <f t="shared" si="2"/>
        <v>1</v>
      </c>
      <c r="K10" s="117">
        <f t="shared" si="11"/>
        <v>45432</v>
      </c>
      <c r="L10" s="117">
        <f t="shared" si="12"/>
        <v>45436</v>
      </c>
      <c r="N10" s="121">
        <v>45516</v>
      </c>
      <c r="O10" s="1" t="s">
        <v>1519</v>
      </c>
    </row>
    <row r="11" spans="1:15" x14ac:dyDescent="0.45">
      <c r="A11" s="117">
        <f t="shared" si="5"/>
        <v>45439</v>
      </c>
      <c r="B11" s="117">
        <f t="shared" ref="B11:G11" si="14">A11+1</f>
        <v>45440</v>
      </c>
      <c r="C11" s="117">
        <f t="shared" si="14"/>
        <v>45441</v>
      </c>
      <c r="D11" s="117">
        <f t="shared" si="14"/>
        <v>45442</v>
      </c>
      <c r="E11" s="117">
        <f t="shared" si="14"/>
        <v>45443</v>
      </c>
      <c r="F11" s="118">
        <f t="shared" si="14"/>
        <v>45444</v>
      </c>
      <c r="G11" s="118">
        <f t="shared" si="14"/>
        <v>45445</v>
      </c>
      <c r="I11" s="125">
        <f>IF(J11=0,"",COUNTIFS(J$3:J11,1))</f>
        <v>8</v>
      </c>
      <c r="J11" s="123">
        <f t="shared" si="2"/>
        <v>1</v>
      </c>
      <c r="K11" s="117">
        <f t="shared" si="11"/>
        <v>45439</v>
      </c>
      <c r="L11" s="117">
        <f t="shared" si="12"/>
        <v>45443</v>
      </c>
      <c r="N11" s="121">
        <v>45551</v>
      </c>
      <c r="O11" s="1" t="s">
        <v>1522</v>
      </c>
    </row>
    <row r="12" spans="1:15" x14ac:dyDescent="0.45">
      <c r="A12" s="117">
        <f t="shared" si="5"/>
        <v>45446</v>
      </c>
      <c r="B12" s="117">
        <f t="shared" ref="B12:G12" si="15">A12+1</f>
        <v>45447</v>
      </c>
      <c r="C12" s="117">
        <f t="shared" si="15"/>
        <v>45448</v>
      </c>
      <c r="D12" s="117">
        <f t="shared" si="15"/>
        <v>45449</v>
      </c>
      <c r="E12" s="117">
        <f t="shared" si="15"/>
        <v>45450</v>
      </c>
      <c r="F12" s="118">
        <f t="shared" si="15"/>
        <v>45451</v>
      </c>
      <c r="G12" s="118">
        <f t="shared" si="15"/>
        <v>45452</v>
      </c>
      <c r="I12" s="125">
        <f>IF(J12=0,"",COUNTIFS(J$3:J12,1))</f>
        <v>9</v>
      </c>
      <c r="J12" s="123">
        <f t="shared" si="2"/>
        <v>1</v>
      </c>
      <c r="K12" s="117">
        <f t="shared" si="11"/>
        <v>45446</v>
      </c>
      <c r="L12" s="117">
        <f t="shared" si="12"/>
        <v>45450</v>
      </c>
      <c r="N12" s="121">
        <v>45557</v>
      </c>
      <c r="O12" s="1" t="s">
        <v>1523</v>
      </c>
    </row>
    <row r="13" spans="1:15" x14ac:dyDescent="0.45">
      <c r="A13" s="117">
        <f t="shared" si="5"/>
        <v>45453</v>
      </c>
      <c r="B13" s="117">
        <f t="shared" ref="B13:G13" si="16">A13+1</f>
        <v>45454</v>
      </c>
      <c r="C13" s="117">
        <f t="shared" si="16"/>
        <v>45455</v>
      </c>
      <c r="D13" s="117">
        <f t="shared" si="16"/>
        <v>45456</v>
      </c>
      <c r="E13" s="117">
        <f t="shared" si="16"/>
        <v>45457</v>
      </c>
      <c r="F13" s="118">
        <f t="shared" si="16"/>
        <v>45458</v>
      </c>
      <c r="G13" s="118">
        <f t="shared" si="16"/>
        <v>45459</v>
      </c>
      <c r="I13" s="125">
        <f>IF(J13=0,"",COUNTIFS(J$3:J13,1))</f>
        <v>10</v>
      </c>
      <c r="J13" s="123">
        <f t="shared" si="2"/>
        <v>1</v>
      </c>
      <c r="K13" s="117">
        <f t="shared" si="11"/>
        <v>45453</v>
      </c>
      <c r="L13" s="117">
        <f t="shared" si="12"/>
        <v>45457</v>
      </c>
      <c r="N13" s="121">
        <v>45558</v>
      </c>
      <c r="O13" s="1" t="s">
        <v>1519</v>
      </c>
    </row>
    <row r="14" spans="1:15" x14ac:dyDescent="0.45">
      <c r="A14" s="117">
        <f t="shared" si="5"/>
        <v>45460</v>
      </c>
      <c r="B14" s="117">
        <f t="shared" ref="B14:G14" si="17">A14+1</f>
        <v>45461</v>
      </c>
      <c r="C14" s="117">
        <f t="shared" si="17"/>
        <v>45462</v>
      </c>
      <c r="D14" s="117">
        <f t="shared" si="17"/>
        <v>45463</v>
      </c>
      <c r="E14" s="117">
        <f t="shared" si="17"/>
        <v>45464</v>
      </c>
      <c r="F14" s="118">
        <f t="shared" si="17"/>
        <v>45465</v>
      </c>
      <c r="G14" s="118">
        <f t="shared" si="17"/>
        <v>45466</v>
      </c>
      <c r="I14" s="125">
        <f>IF(J14=0,"",COUNTIFS(J$3:J14,1))</f>
        <v>11</v>
      </c>
      <c r="J14" s="123">
        <f t="shared" si="2"/>
        <v>1</v>
      </c>
      <c r="K14" s="117">
        <f t="shared" si="11"/>
        <v>45460</v>
      </c>
      <c r="L14" s="117">
        <f t="shared" si="12"/>
        <v>45464</v>
      </c>
      <c r="N14" s="121">
        <v>45579</v>
      </c>
      <c r="O14" s="1" t="s">
        <v>1524</v>
      </c>
    </row>
    <row r="15" spans="1:15" x14ac:dyDescent="0.45">
      <c r="A15" s="117">
        <f t="shared" si="5"/>
        <v>45467</v>
      </c>
      <c r="B15" s="117">
        <f t="shared" ref="B15:G15" si="18">A15+1</f>
        <v>45468</v>
      </c>
      <c r="C15" s="117">
        <f t="shared" si="18"/>
        <v>45469</v>
      </c>
      <c r="D15" s="117">
        <f t="shared" si="18"/>
        <v>45470</v>
      </c>
      <c r="E15" s="117">
        <f t="shared" si="18"/>
        <v>45471</v>
      </c>
      <c r="F15" s="118">
        <f t="shared" si="18"/>
        <v>45472</v>
      </c>
      <c r="G15" s="118">
        <f t="shared" si="18"/>
        <v>45473</v>
      </c>
      <c r="I15" s="125">
        <f>IF(J15=0,"",COUNTIFS(J$3:J15,1))</f>
        <v>12</v>
      </c>
      <c r="J15" s="123">
        <f t="shared" si="2"/>
        <v>1</v>
      </c>
      <c r="K15" s="117">
        <f t="shared" si="11"/>
        <v>45467</v>
      </c>
      <c r="L15" s="117">
        <f t="shared" si="12"/>
        <v>45471</v>
      </c>
      <c r="N15" s="121">
        <v>45599</v>
      </c>
      <c r="O15" s="1" t="s">
        <v>1525</v>
      </c>
    </row>
    <row r="16" spans="1:15" x14ac:dyDescent="0.45">
      <c r="A16" s="117">
        <f t="shared" si="5"/>
        <v>45474</v>
      </c>
      <c r="B16" s="117">
        <f t="shared" ref="B16:G16" si="19">A16+1</f>
        <v>45475</v>
      </c>
      <c r="C16" s="117">
        <f t="shared" si="19"/>
        <v>45476</v>
      </c>
      <c r="D16" s="117">
        <f t="shared" si="19"/>
        <v>45477</v>
      </c>
      <c r="E16" s="117">
        <f t="shared" si="19"/>
        <v>45478</v>
      </c>
      <c r="F16" s="118">
        <f t="shared" si="19"/>
        <v>45479</v>
      </c>
      <c r="G16" s="118">
        <f t="shared" si="19"/>
        <v>45480</v>
      </c>
      <c r="I16" s="125">
        <f>IF(J16=0,"",COUNTIFS(J$3:J16,1))</f>
        <v>13</v>
      </c>
      <c r="J16" s="123">
        <f t="shared" si="2"/>
        <v>1</v>
      </c>
      <c r="K16" s="117">
        <f t="shared" si="11"/>
        <v>45474</v>
      </c>
      <c r="L16" s="117">
        <f t="shared" si="12"/>
        <v>45478</v>
      </c>
      <c r="N16" s="121">
        <v>45600</v>
      </c>
      <c r="O16" s="1" t="s">
        <v>1519</v>
      </c>
    </row>
    <row r="17" spans="1:15" x14ac:dyDescent="0.45">
      <c r="A17" s="117">
        <f t="shared" si="5"/>
        <v>45481</v>
      </c>
      <c r="B17" s="117">
        <f t="shared" ref="B17:G17" si="20">A17+1</f>
        <v>45482</v>
      </c>
      <c r="C17" s="117">
        <f t="shared" si="20"/>
        <v>45483</v>
      </c>
      <c r="D17" s="117">
        <f t="shared" si="20"/>
        <v>45484</v>
      </c>
      <c r="E17" s="117">
        <f t="shared" si="20"/>
        <v>45485</v>
      </c>
      <c r="F17" s="118">
        <f t="shared" si="20"/>
        <v>45486</v>
      </c>
      <c r="G17" s="118">
        <f t="shared" si="20"/>
        <v>45487</v>
      </c>
      <c r="I17" s="125">
        <f>IF(J17=0,"",COUNTIFS(J$3:J17,1))</f>
        <v>14</v>
      </c>
      <c r="J17" s="123">
        <f t="shared" si="2"/>
        <v>1</v>
      </c>
      <c r="K17" s="117">
        <f t="shared" si="11"/>
        <v>45481</v>
      </c>
      <c r="L17" s="117">
        <f t="shared" si="12"/>
        <v>45485</v>
      </c>
      <c r="N17" s="121">
        <v>45619</v>
      </c>
      <c r="O17" s="1" t="s">
        <v>1526</v>
      </c>
    </row>
    <row r="18" spans="1:15" x14ac:dyDescent="0.45">
      <c r="A18" s="117">
        <f t="shared" si="5"/>
        <v>45488</v>
      </c>
      <c r="B18" s="117">
        <f t="shared" ref="B18:G18" si="21">A18+1</f>
        <v>45489</v>
      </c>
      <c r="C18" s="117">
        <f t="shared" si="21"/>
        <v>45490</v>
      </c>
      <c r="D18" s="117">
        <f t="shared" si="21"/>
        <v>45491</v>
      </c>
      <c r="E18" s="117">
        <f t="shared" si="21"/>
        <v>45492</v>
      </c>
      <c r="F18" s="118">
        <f t="shared" si="21"/>
        <v>45493</v>
      </c>
      <c r="G18" s="118">
        <f t="shared" si="21"/>
        <v>45494</v>
      </c>
      <c r="I18" s="125">
        <f>IF(J18=0,"",COUNTIFS(J$3:J18,1))</f>
        <v>15</v>
      </c>
      <c r="J18" s="123">
        <f t="shared" si="2"/>
        <v>1</v>
      </c>
      <c r="K18" s="117">
        <f>B18</f>
        <v>45489</v>
      </c>
      <c r="L18" s="117">
        <f>E18</f>
        <v>45492</v>
      </c>
      <c r="N18" s="121">
        <v>45657</v>
      </c>
    </row>
    <row r="19" spans="1:15" x14ac:dyDescent="0.45">
      <c r="A19" s="117">
        <f t="shared" si="5"/>
        <v>45495</v>
      </c>
      <c r="B19" s="117">
        <f t="shared" ref="B19:G19" si="22">A19+1</f>
        <v>45496</v>
      </c>
      <c r="C19" s="117">
        <f t="shared" si="22"/>
        <v>45497</v>
      </c>
      <c r="D19" s="117">
        <f t="shared" si="22"/>
        <v>45498</v>
      </c>
      <c r="E19" s="117">
        <f t="shared" si="22"/>
        <v>45499</v>
      </c>
      <c r="F19" s="118">
        <f t="shared" si="22"/>
        <v>45500</v>
      </c>
      <c r="G19" s="118">
        <f t="shared" si="22"/>
        <v>45501</v>
      </c>
      <c r="I19" s="125">
        <f>IF(J19=0,"",COUNTIFS(J$3:J19,1))</f>
        <v>16</v>
      </c>
      <c r="J19" s="123">
        <f t="shared" si="2"/>
        <v>1</v>
      </c>
      <c r="K19" s="117">
        <f t="shared" ref="K19:K21" si="23">A19</f>
        <v>45495</v>
      </c>
      <c r="L19" s="117">
        <f t="shared" ref="L19:L21" si="24">E19</f>
        <v>45499</v>
      </c>
      <c r="N19" s="121">
        <v>45658</v>
      </c>
      <c r="O19" s="1" t="s">
        <v>1527</v>
      </c>
    </row>
    <row r="20" spans="1:15" x14ac:dyDescent="0.45">
      <c r="A20" s="117">
        <f>A19+7</f>
        <v>45502</v>
      </c>
      <c r="B20" s="117">
        <f t="shared" ref="B20:G20" si="25">A20+1</f>
        <v>45503</v>
      </c>
      <c r="C20" s="117">
        <f t="shared" si="25"/>
        <v>45504</v>
      </c>
      <c r="D20" s="117">
        <f t="shared" si="25"/>
        <v>45505</v>
      </c>
      <c r="E20" s="117">
        <f t="shared" si="25"/>
        <v>45506</v>
      </c>
      <c r="F20" s="118">
        <f t="shared" si="25"/>
        <v>45507</v>
      </c>
      <c r="G20" s="118">
        <f t="shared" si="25"/>
        <v>45508</v>
      </c>
      <c r="I20" s="125">
        <f>IF(J20=0,"",COUNTIFS(J$3:J20,1))</f>
        <v>17</v>
      </c>
      <c r="J20" s="123">
        <f t="shared" si="2"/>
        <v>1</v>
      </c>
      <c r="K20" s="117">
        <f t="shared" si="23"/>
        <v>45502</v>
      </c>
      <c r="L20" s="117">
        <f t="shared" si="24"/>
        <v>45506</v>
      </c>
      <c r="N20" s="121">
        <v>45659</v>
      </c>
    </row>
    <row r="21" spans="1:15" x14ac:dyDescent="0.45">
      <c r="A21" s="117">
        <f t="shared" ref="A21:A34" si="26">A20+7</f>
        <v>45509</v>
      </c>
      <c r="B21" s="117">
        <f t="shared" ref="B21:G21" si="27">A21+1</f>
        <v>45510</v>
      </c>
      <c r="C21" s="117">
        <f t="shared" si="27"/>
        <v>45511</v>
      </c>
      <c r="D21" s="117">
        <f t="shared" si="27"/>
        <v>45512</v>
      </c>
      <c r="E21" s="117">
        <f t="shared" si="27"/>
        <v>45513</v>
      </c>
      <c r="F21" s="118">
        <f t="shared" si="27"/>
        <v>45514</v>
      </c>
      <c r="G21" s="118">
        <f t="shared" si="27"/>
        <v>45515</v>
      </c>
      <c r="I21" s="125">
        <f>IF(J21=0,"",COUNTIFS(J$3:J21,1))</f>
        <v>18</v>
      </c>
      <c r="J21" s="123">
        <f t="shared" si="2"/>
        <v>1</v>
      </c>
      <c r="K21" s="117">
        <f t="shared" si="23"/>
        <v>45509</v>
      </c>
      <c r="L21" s="117">
        <f t="shared" si="24"/>
        <v>45513</v>
      </c>
      <c r="N21" s="121">
        <v>45660</v>
      </c>
    </row>
    <row r="22" spans="1:15" x14ac:dyDescent="0.45">
      <c r="A22" s="117">
        <f t="shared" si="26"/>
        <v>45516</v>
      </c>
      <c r="B22" s="117">
        <f t="shared" ref="B22:G22" si="28">A22+1</f>
        <v>45517</v>
      </c>
      <c r="C22" s="117">
        <f t="shared" si="28"/>
        <v>45518</v>
      </c>
      <c r="D22" s="117">
        <f t="shared" si="28"/>
        <v>45519</v>
      </c>
      <c r="E22" s="117">
        <f t="shared" si="28"/>
        <v>45520</v>
      </c>
      <c r="F22" s="118">
        <f t="shared" si="28"/>
        <v>45521</v>
      </c>
      <c r="G22" s="118">
        <f t="shared" si="28"/>
        <v>45522</v>
      </c>
      <c r="I22" s="125">
        <f>IF(J22=0,"",COUNTIFS(J$3:J22,1))</f>
        <v>19</v>
      </c>
      <c r="J22" s="123">
        <f t="shared" si="2"/>
        <v>1</v>
      </c>
      <c r="K22" s="117">
        <f>B22</f>
        <v>45517</v>
      </c>
      <c r="L22" s="117">
        <f>E22</f>
        <v>45520</v>
      </c>
      <c r="N22" s="121">
        <v>45670</v>
      </c>
      <c r="O22" s="1" t="s">
        <v>1528</v>
      </c>
    </row>
    <row r="23" spans="1:15" x14ac:dyDescent="0.45">
      <c r="A23" s="117">
        <f t="shared" si="26"/>
        <v>45523</v>
      </c>
      <c r="B23" s="117">
        <f t="shared" ref="B23:G23" si="29">A23+1</f>
        <v>45524</v>
      </c>
      <c r="C23" s="117">
        <f t="shared" si="29"/>
        <v>45525</v>
      </c>
      <c r="D23" s="117">
        <f t="shared" si="29"/>
        <v>45526</v>
      </c>
      <c r="E23" s="117">
        <f t="shared" si="29"/>
        <v>45527</v>
      </c>
      <c r="F23" s="118">
        <f t="shared" si="29"/>
        <v>45528</v>
      </c>
      <c r="G23" s="118">
        <f t="shared" si="29"/>
        <v>45529</v>
      </c>
      <c r="I23" s="125">
        <f>IF(J23=0,"",COUNTIFS(J$3:J23,1))</f>
        <v>20</v>
      </c>
      <c r="J23" s="123">
        <f t="shared" si="2"/>
        <v>1</v>
      </c>
      <c r="K23" s="117">
        <f t="shared" ref="K23:K26" si="30">A23</f>
        <v>45523</v>
      </c>
      <c r="L23" s="117">
        <f t="shared" ref="L23:L26" si="31">E23</f>
        <v>45527</v>
      </c>
      <c r="N23" s="121">
        <v>45699</v>
      </c>
      <c r="O23" s="1" t="s">
        <v>1529</v>
      </c>
    </row>
    <row r="24" spans="1:15" x14ac:dyDescent="0.45">
      <c r="A24" s="117">
        <f t="shared" si="26"/>
        <v>45530</v>
      </c>
      <c r="B24" s="117">
        <f t="shared" ref="B24:G24" si="32">A24+1</f>
        <v>45531</v>
      </c>
      <c r="C24" s="117">
        <f t="shared" si="32"/>
        <v>45532</v>
      </c>
      <c r="D24" s="117">
        <f t="shared" si="32"/>
        <v>45533</v>
      </c>
      <c r="E24" s="117">
        <f t="shared" si="32"/>
        <v>45534</v>
      </c>
      <c r="F24" s="118">
        <f t="shared" si="32"/>
        <v>45535</v>
      </c>
      <c r="G24" s="118">
        <f t="shared" si="32"/>
        <v>45536</v>
      </c>
      <c r="I24" s="125">
        <f>IF(J24=0,"",COUNTIFS(J$3:J24,1))</f>
        <v>21</v>
      </c>
      <c r="J24" s="123">
        <f t="shared" si="2"/>
        <v>1</v>
      </c>
      <c r="K24" s="117">
        <f t="shared" si="30"/>
        <v>45530</v>
      </c>
      <c r="L24" s="117">
        <f t="shared" si="31"/>
        <v>45534</v>
      </c>
      <c r="N24" s="121">
        <v>45711</v>
      </c>
      <c r="O24" s="1" t="s">
        <v>1530</v>
      </c>
    </row>
    <row r="25" spans="1:15" x14ac:dyDescent="0.45">
      <c r="A25" s="117">
        <f t="shared" si="26"/>
        <v>45537</v>
      </c>
      <c r="B25" s="117">
        <f t="shared" ref="B25:G25" si="33">A25+1</f>
        <v>45538</v>
      </c>
      <c r="C25" s="117">
        <f t="shared" si="33"/>
        <v>45539</v>
      </c>
      <c r="D25" s="117">
        <f t="shared" si="33"/>
        <v>45540</v>
      </c>
      <c r="E25" s="117">
        <f t="shared" si="33"/>
        <v>45541</v>
      </c>
      <c r="F25" s="118">
        <f t="shared" si="33"/>
        <v>45542</v>
      </c>
      <c r="G25" s="118">
        <f t="shared" si="33"/>
        <v>45543</v>
      </c>
      <c r="I25" s="125">
        <f>IF(J25=0,"",COUNTIFS(J$3:J25,1))</f>
        <v>22</v>
      </c>
      <c r="J25" s="123">
        <f t="shared" si="2"/>
        <v>1</v>
      </c>
      <c r="K25" s="117">
        <f t="shared" si="30"/>
        <v>45537</v>
      </c>
      <c r="L25" s="117">
        <f t="shared" si="31"/>
        <v>45541</v>
      </c>
      <c r="N25" s="121">
        <v>45712</v>
      </c>
      <c r="O25" s="1" t="s">
        <v>1519</v>
      </c>
    </row>
    <row r="26" spans="1:15" x14ac:dyDescent="0.45">
      <c r="A26" s="117">
        <f t="shared" si="26"/>
        <v>45544</v>
      </c>
      <c r="B26" s="117">
        <f t="shared" ref="B26:G26" si="34">A26+1</f>
        <v>45545</v>
      </c>
      <c r="C26" s="117">
        <f t="shared" si="34"/>
        <v>45546</v>
      </c>
      <c r="D26" s="117">
        <f t="shared" si="34"/>
        <v>45547</v>
      </c>
      <c r="E26" s="117">
        <f t="shared" si="34"/>
        <v>45548</v>
      </c>
      <c r="F26" s="118">
        <f t="shared" si="34"/>
        <v>45549</v>
      </c>
      <c r="G26" s="118">
        <f t="shared" si="34"/>
        <v>45550</v>
      </c>
      <c r="I26" s="125">
        <f>IF(J26=0,"",COUNTIFS(J$3:J26,1))</f>
        <v>23</v>
      </c>
      <c r="J26" s="123">
        <f t="shared" si="2"/>
        <v>1</v>
      </c>
      <c r="K26" s="117">
        <f t="shared" si="30"/>
        <v>45544</v>
      </c>
      <c r="L26" s="117">
        <f t="shared" si="31"/>
        <v>45548</v>
      </c>
      <c r="N26" s="121">
        <v>45736</v>
      </c>
      <c r="O26" s="1" t="s">
        <v>1531</v>
      </c>
    </row>
    <row r="27" spans="1:15" x14ac:dyDescent="0.45">
      <c r="A27" s="117">
        <f t="shared" si="26"/>
        <v>45551</v>
      </c>
      <c r="B27" s="117">
        <f t="shared" ref="B27:G27" si="35">A27+1</f>
        <v>45552</v>
      </c>
      <c r="C27" s="117">
        <f t="shared" si="35"/>
        <v>45553</v>
      </c>
      <c r="D27" s="117">
        <f t="shared" si="35"/>
        <v>45554</v>
      </c>
      <c r="E27" s="117">
        <f t="shared" si="35"/>
        <v>45555</v>
      </c>
      <c r="F27" s="118">
        <f t="shared" si="35"/>
        <v>45556</v>
      </c>
      <c r="G27" s="118">
        <f t="shared" si="35"/>
        <v>45557</v>
      </c>
      <c r="I27" s="125">
        <f>IF(J27=0,"",COUNTIFS(J$3:J27,1))</f>
        <v>24</v>
      </c>
      <c r="J27" s="123">
        <f t="shared" si="2"/>
        <v>1</v>
      </c>
      <c r="K27" s="117">
        <f t="shared" ref="K27:K28" si="36">B27</f>
        <v>45552</v>
      </c>
      <c r="L27" s="117">
        <f t="shared" ref="L27:L30" si="37">E27</f>
        <v>45555</v>
      </c>
    </row>
    <row r="28" spans="1:15" x14ac:dyDescent="0.45">
      <c r="A28" s="117">
        <f t="shared" si="26"/>
        <v>45558</v>
      </c>
      <c r="B28" s="117">
        <f t="shared" ref="B28:G28" si="38">A28+1</f>
        <v>45559</v>
      </c>
      <c r="C28" s="117">
        <f t="shared" si="38"/>
        <v>45560</v>
      </c>
      <c r="D28" s="117">
        <f t="shared" si="38"/>
        <v>45561</v>
      </c>
      <c r="E28" s="117">
        <f t="shared" si="38"/>
        <v>45562</v>
      </c>
      <c r="F28" s="118">
        <f t="shared" si="38"/>
        <v>45563</v>
      </c>
      <c r="G28" s="118">
        <f t="shared" si="38"/>
        <v>45564</v>
      </c>
      <c r="I28" s="125">
        <f>IF(J28=0,"",COUNTIFS(J$3:J28,1))</f>
        <v>25</v>
      </c>
      <c r="J28" s="123">
        <f t="shared" si="2"/>
        <v>1</v>
      </c>
      <c r="K28" s="117">
        <f t="shared" si="36"/>
        <v>45559</v>
      </c>
      <c r="L28" s="117">
        <f t="shared" si="37"/>
        <v>45562</v>
      </c>
    </row>
    <row r="29" spans="1:15" x14ac:dyDescent="0.45">
      <c r="A29" s="117">
        <f t="shared" si="26"/>
        <v>45565</v>
      </c>
      <c r="B29" s="117">
        <f t="shared" ref="B29:G29" si="39">A29+1</f>
        <v>45566</v>
      </c>
      <c r="C29" s="117">
        <f t="shared" si="39"/>
        <v>45567</v>
      </c>
      <c r="D29" s="117">
        <f t="shared" si="39"/>
        <v>45568</v>
      </c>
      <c r="E29" s="117">
        <f t="shared" si="39"/>
        <v>45569</v>
      </c>
      <c r="F29" s="118">
        <f t="shared" si="39"/>
        <v>45570</v>
      </c>
      <c r="G29" s="118">
        <f t="shared" si="39"/>
        <v>45571</v>
      </c>
      <c r="I29" s="125">
        <f>IF(J29=0,"",COUNTIFS(J$3:J29,1))</f>
        <v>26</v>
      </c>
      <c r="J29" s="123">
        <f t="shared" si="2"/>
        <v>1</v>
      </c>
      <c r="K29" s="117">
        <f t="shared" ref="K29:K30" si="40">A29</f>
        <v>45565</v>
      </c>
      <c r="L29" s="117">
        <f t="shared" si="37"/>
        <v>45569</v>
      </c>
    </row>
    <row r="30" spans="1:15" x14ac:dyDescent="0.45">
      <c r="A30" s="117">
        <f t="shared" si="26"/>
        <v>45572</v>
      </c>
      <c r="B30" s="117">
        <f t="shared" ref="B30:G30" si="41">A30+1</f>
        <v>45573</v>
      </c>
      <c r="C30" s="117">
        <f t="shared" si="41"/>
        <v>45574</v>
      </c>
      <c r="D30" s="117">
        <f t="shared" si="41"/>
        <v>45575</v>
      </c>
      <c r="E30" s="117">
        <f t="shared" si="41"/>
        <v>45576</v>
      </c>
      <c r="F30" s="118">
        <f t="shared" si="41"/>
        <v>45577</v>
      </c>
      <c r="G30" s="118">
        <f t="shared" si="41"/>
        <v>45578</v>
      </c>
      <c r="I30" s="125">
        <f>IF(J30=0,"",COUNTIFS(J$3:J30,1))</f>
        <v>27</v>
      </c>
      <c r="J30" s="123">
        <f t="shared" si="2"/>
        <v>1</v>
      </c>
      <c r="K30" s="117">
        <f t="shared" si="40"/>
        <v>45572</v>
      </c>
      <c r="L30" s="117">
        <f t="shared" si="37"/>
        <v>45576</v>
      </c>
    </row>
    <row r="31" spans="1:15" x14ac:dyDescent="0.45">
      <c r="A31" s="117">
        <f t="shared" si="26"/>
        <v>45579</v>
      </c>
      <c r="B31" s="117">
        <f t="shared" ref="B31:G31" si="42">A31+1</f>
        <v>45580</v>
      </c>
      <c r="C31" s="117">
        <f t="shared" si="42"/>
        <v>45581</v>
      </c>
      <c r="D31" s="117">
        <f t="shared" si="42"/>
        <v>45582</v>
      </c>
      <c r="E31" s="117">
        <f t="shared" si="42"/>
        <v>45583</v>
      </c>
      <c r="F31" s="118">
        <f t="shared" si="42"/>
        <v>45584</v>
      </c>
      <c r="G31" s="118">
        <f t="shared" si="42"/>
        <v>45585</v>
      </c>
      <c r="I31" s="125">
        <f>IF(J31=0,"",COUNTIFS(J$3:J31,1))</f>
        <v>28</v>
      </c>
      <c r="J31" s="123">
        <f t="shared" si="2"/>
        <v>1</v>
      </c>
      <c r="K31" s="117">
        <f>B31</f>
        <v>45580</v>
      </c>
      <c r="L31" s="117">
        <f>E31</f>
        <v>45583</v>
      </c>
    </row>
    <row r="32" spans="1:15" x14ac:dyDescent="0.45">
      <c r="A32" s="117">
        <f t="shared" si="26"/>
        <v>45586</v>
      </c>
      <c r="B32" s="117">
        <f t="shared" ref="B32:G32" si="43">A32+1</f>
        <v>45587</v>
      </c>
      <c r="C32" s="117">
        <f t="shared" si="43"/>
        <v>45588</v>
      </c>
      <c r="D32" s="117">
        <f t="shared" si="43"/>
        <v>45589</v>
      </c>
      <c r="E32" s="117">
        <f t="shared" si="43"/>
        <v>45590</v>
      </c>
      <c r="F32" s="118">
        <f t="shared" si="43"/>
        <v>45591</v>
      </c>
      <c r="G32" s="118">
        <f t="shared" si="43"/>
        <v>45592</v>
      </c>
      <c r="I32" s="125">
        <f>IF(J32=0,"",COUNTIFS(J$3:J32,1))</f>
        <v>29</v>
      </c>
      <c r="J32" s="123">
        <f t="shared" si="2"/>
        <v>1</v>
      </c>
      <c r="K32" s="117">
        <f t="shared" ref="K32:K33" si="44">A32</f>
        <v>45586</v>
      </c>
      <c r="L32" s="117">
        <f t="shared" ref="L32:L33" si="45">E32</f>
        <v>45590</v>
      </c>
    </row>
    <row r="33" spans="1:12" x14ac:dyDescent="0.45">
      <c r="A33" s="117">
        <f t="shared" si="26"/>
        <v>45593</v>
      </c>
      <c r="B33" s="117">
        <f t="shared" ref="B33:G33" si="46">A33+1</f>
        <v>45594</v>
      </c>
      <c r="C33" s="117">
        <f t="shared" si="46"/>
        <v>45595</v>
      </c>
      <c r="D33" s="117">
        <f t="shared" si="46"/>
        <v>45596</v>
      </c>
      <c r="E33" s="117">
        <f t="shared" si="46"/>
        <v>45597</v>
      </c>
      <c r="F33" s="118">
        <f t="shared" si="46"/>
        <v>45598</v>
      </c>
      <c r="G33" s="118">
        <f t="shared" si="46"/>
        <v>45599</v>
      </c>
      <c r="I33" s="125">
        <f>IF(J33=0,"",COUNTIFS(J$3:J33,1))</f>
        <v>30</v>
      </c>
      <c r="J33" s="123">
        <f t="shared" si="2"/>
        <v>1</v>
      </c>
      <c r="K33" s="117">
        <f t="shared" si="44"/>
        <v>45593</v>
      </c>
      <c r="L33" s="117">
        <f t="shared" si="45"/>
        <v>45597</v>
      </c>
    </row>
    <row r="34" spans="1:12" x14ac:dyDescent="0.45">
      <c r="A34" s="117">
        <f t="shared" si="26"/>
        <v>45600</v>
      </c>
      <c r="B34" s="117">
        <f t="shared" ref="B34:G34" si="47">A34+1</f>
        <v>45601</v>
      </c>
      <c r="C34" s="117">
        <f t="shared" si="47"/>
        <v>45602</v>
      </c>
      <c r="D34" s="117">
        <f t="shared" si="47"/>
        <v>45603</v>
      </c>
      <c r="E34" s="117">
        <f t="shared" si="47"/>
        <v>45604</v>
      </c>
      <c r="F34" s="118">
        <f t="shared" si="47"/>
        <v>45605</v>
      </c>
      <c r="G34" s="118">
        <f t="shared" si="47"/>
        <v>45606</v>
      </c>
      <c r="I34" s="125">
        <f>IF(J34=0,"",COUNTIFS(J$3:J34,1))</f>
        <v>31</v>
      </c>
      <c r="J34" s="123">
        <f t="shared" si="2"/>
        <v>1</v>
      </c>
      <c r="K34" s="117">
        <f>B34</f>
        <v>45601</v>
      </c>
      <c r="L34" s="117">
        <f>E34</f>
        <v>45604</v>
      </c>
    </row>
    <row r="35" spans="1:12" x14ac:dyDescent="0.45">
      <c r="A35" s="117">
        <f>A34+7</f>
        <v>45607</v>
      </c>
      <c r="B35" s="117">
        <f t="shared" ref="B35:G35" si="48">A35+1</f>
        <v>45608</v>
      </c>
      <c r="C35" s="117">
        <f t="shared" si="48"/>
        <v>45609</v>
      </c>
      <c r="D35" s="117">
        <f t="shared" si="48"/>
        <v>45610</v>
      </c>
      <c r="E35" s="117">
        <f t="shared" si="48"/>
        <v>45611</v>
      </c>
      <c r="F35" s="118">
        <f t="shared" si="48"/>
        <v>45612</v>
      </c>
      <c r="G35" s="118">
        <f t="shared" si="48"/>
        <v>45613</v>
      </c>
      <c r="I35" s="125">
        <f>IF(J35=0,"",COUNTIFS(J$3:J35,1))</f>
        <v>32</v>
      </c>
      <c r="J35" s="123">
        <f t="shared" si="2"/>
        <v>1</v>
      </c>
      <c r="K35" s="117">
        <f t="shared" ref="K35:K41" si="49">A35</f>
        <v>45607</v>
      </c>
      <c r="L35" s="117">
        <f t="shared" ref="L35:L41" si="50">E35</f>
        <v>45611</v>
      </c>
    </row>
    <row r="36" spans="1:12" x14ac:dyDescent="0.45">
      <c r="A36" s="117">
        <f t="shared" ref="A36:A46" si="51">A35+7</f>
        <v>45614</v>
      </c>
      <c r="B36" s="117">
        <f t="shared" ref="B36:G36" si="52">A36+1</f>
        <v>45615</v>
      </c>
      <c r="C36" s="117">
        <f t="shared" si="52"/>
        <v>45616</v>
      </c>
      <c r="D36" s="117">
        <f t="shared" si="52"/>
        <v>45617</v>
      </c>
      <c r="E36" s="117">
        <f t="shared" si="52"/>
        <v>45618</v>
      </c>
      <c r="F36" s="118">
        <f t="shared" si="52"/>
        <v>45619</v>
      </c>
      <c r="G36" s="118">
        <f t="shared" si="52"/>
        <v>45620</v>
      </c>
      <c r="I36" s="125">
        <f>IF(J36=0,"",COUNTIFS(J$3:J36,1))</f>
        <v>33</v>
      </c>
      <c r="J36" s="123">
        <f t="shared" si="2"/>
        <v>1</v>
      </c>
      <c r="K36" s="117">
        <f t="shared" si="49"/>
        <v>45614</v>
      </c>
      <c r="L36" s="117">
        <f t="shared" si="50"/>
        <v>45618</v>
      </c>
    </row>
    <row r="37" spans="1:12" x14ac:dyDescent="0.45">
      <c r="A37" s="117">
        <f t="shared" si="51"/>
        <v>45621</v>
      </c>
      <c r="B37" s="117">
        <f t="shared" ref="B37:G37" si="53">A37+1</f>
        <v>45622</v>
      </c>
      <c r="C37" s="117">
        <f t="shared" si="53"/>
        <v>45623</v>
      </c>
      <c r="D37" s="117">
        <f t="shared" si="53"/>
        <v>45624</v>
      </c>
      <c r="E37" s="117">
        <f t="shared" si="53"/>
        <v>45625</v>
      </c>
      <c r="F37" s="118">
        <f t="shared" si="53"/>
        <v>45626</v>
      </c>
      <c r="G37" s="118">
        <f t="shared" si="53"/>
        <v>45627</v>
      </c>
      <c r="I37" s="125">
        <f>IF(J37=0,"",COUNTIFS(J$3:J37,1))</f>
        <v>34</v>
      </c>
      <c r="J37" s="123">
        <f t="shared" si="2"/>
        <v>1</v>
      </c>
      <c r="K37" s="117">
        <f t="shared" si="49"/>
        <v>45621</v>
      </c>
      <c r="L37" s="117">
        <f t="shared" si="50"/>
        <v>45625</v>
      </c>
    </row>
    <row r="38" spans="1:12" x14ac:dyDescent="0.45">
      <c r="A38" s="117">
        <f t="shared" si="51"/>
        <v>45628</v>
      </c>
      <c r="B38" s="117">
        <f t="shared" ref="B38:G38" si="54">A38+1</f>
        <v>45629</v>
      </c>
      <c r="C38" s="117">
        <f t="shared" si="54"/>
        <v>45630</v>
      </c>
      <c r="D38" s="117">
        <f t="shared" si="54"/>
        <v>45631</v>
      </c>
      <c r="E38" s="117">
        <f t="shared" si="54"/>
        <v>45632</v>
      </c>
      <c r="F38" s="118">
        <f t="shared" si="54"/>
        <v>45633</v>
      </c>
      <c r="G38" s="118">
        <f t="shared" si="54"/>
        <v>45634</v>
      </c>
      <c r="I38" s="125">
        <f>IF(J38=0,"",COUNTIFS(J$3:J38,1))</f>
        <v>35</v>
      </c>
      <c r="J38" s="123">
        <f t="shared" si="2"/>
        <v>1</v>
      </c>
      <c r="K38" s="117">
        <f t="shared" si="49"/>
        <v>45628</v>
      </c>
      <c r="L38" s="117">
        <f t="shared" si="50"/>
        <v>45632</v>
      </c>
    </row>
    <row r="39" spans="1:12" x14ac:dyDescent="0.45">
      <c r="A39" s="117">
        <f t="shared" si="51"/>
        <v>45635</v>
      </c>
      <c r="B39" s="117">
        <f t="shared" ref="B39:G39" si="55">A39+1</f>
        <v>45636</v>
      </c>
      <c r="C39" s="117">
        <f t="shared" si="55"/>
        <v>45637</v>
      </c>
      <c r="D39" s="117">
        <f t="shared" si="55"/>
        <v>45638</v>
      </c>
      <c r="E39" s="117">
        <f t="shared" si="55"/>
        <v>45639</v>
      </c>
      <c r="F39" s="118">
        <f t="shared" si="55"/>
        <v>45640</v>
      </c>
      <c r="G39" s="118">
        <f t="shared" si="55"/>
        <v>45641</v>
      </c>
      <c r="I39" s="125">
        <f>IF(J39=0,"",COUNTIFS(J$3:J39,1))</f>
        <v>36</v>
      </c>
      <c r="J39" s="123">
        <f t="shared" si="2"/>
        <v>1</v>
      </c>
      <c r="K39" s="117">
        <f t="shared" si="49"/>
        <v>45635</v>
      </c>
      <c r="L39" s="117">
        <f t="shared" si="50"/>
        <v>45639</v>
      </c>
    </row>
    <row r="40" spans="1:12" x14ac:dyDescent="0.45">
      <c r="A40" s="117">
        <f t="shared" si="51"/>
        <v>45642</v>
      </c>
      <c r="B40" s="117">
        <f t="shared" ref="B40:G40" si="56">A40+1</f>
        <v>45643</v>
      </c>
      <c r="C40" s="117">
        <f t="shared" si="56"/>
        <v>45644</v>
      </c>
      <c r="D40" s="117">
        <f t="shared" si="56"/>
        <v>45645</v>
      </c>
      <c r="E40" s="117">
        <f t="shared" si="56"/>
        <v>45646</v>
      </c>
      <c r="F40" s="118">
        <f t="shared" si="56"/>
        <v>45647</v>
      </c>
      <c r="G40" s="118">
        <f t="shared" si="56"/>
        <v>45648</v>
      </c>
      <c r="I40" s="125">
        <f>IF(J40=0,"",COUNTIFS(J$3:J40,1))</f>
        <v>37</v>
      </c>
      <c r="J40" s="123">
        <f t="shared" si="2"/>
        <v>1</v>
      </c>
      <c r="K40" s="117">
        <f t="shared" si="49"/>
        <v>45642</v>
      </c>
      <c r="L40" s="117">
        <f t="shared" si="50"/>
        <v>45646</v>
      </c>
    </row>
    <row r="41" spans="1:12" x14ac:dyDescent="0.45">
      <c r="A41" s="117">
        <f t="shared" si="51"/>
        <v>45649</v>
      </c>
      <c r="B41" s="117">
        <f t="shared" ref="B41:G41" si="57">A41+1</f>
        <v>45650</v>
      </c>
      <c r="C41" s="117">
        <f t="shared" si="57"/>
        <v>45651</v>
      </c>
      <c r="D41" s="117">
        <f t="shared" si="57"/>
        <v>45652</v>
      </c>
      <c r="E41" s="117">
        <f t="shared" si="57"/>
        <v>45653</v>
      </c>
      <c r="F41" s="118">
        <f t="shared" si="57"/>
        <v>45654</v>
      </c>
      <c r="G41" s="118">
        <f t="shared" si="57"/>
        <v>45655</v>
      </c>
      <c r="I41" s="125">
        <f>IF(J41=0,"",COUNTIFS(J$3:J41,1))</f>
        <v>38</v>
      </c>
      <c r="J41" s="123">
        <f t="shared" si="2"/>
        <v>1</v>
      </c>
      <c r="K41" s="117">
        <f t="shared" si="49"/>
        <v>45649</v>
      </c>
      <c r="L41" s="117">
        <f t="shared" si="50"/>
        <v>45653</v>
      </c>
    </row>
    <row r="42" spans="1:12" x14ac:dyDescent="0.45">
      <c r="A42" s="117">
        <f t="shared" si="51"/>
        <v>45656</v>
      </c>
      <c r="B42" s="117">
        <f t="shared" ref="B42:G42" si="58">A42+1</f>
        <v>45657</v>
      </c>
      <c r="C42" s="117">
        <f t="shared" si="58"/>
        <v>45658</v>
      </c>
      <c r="D42" s="117">
        <f t="shared" si="58"/>
        <v>45659</v>
      </c>
      <c r="E42" s="117">
        <f t="shared" si="58"/>
        <v>45660</v>
      </c>
      <c r="F42" s="118">
        <f t="shared" si="58"/>
        <v>45661</v>
      </c>
      <c r="G42" s="118">
        <f t="shared" si="58"/>
        <v>45662</v>
      </c>
      <c r="I42" s="125" t="str">
        <f>IF(J42=0,"",COUNTIFS(J$3:J42,1))</f>
        <v/>
      </c>
      <c r="J42" s="123">
        <f t="shared" si="2"/>
        <v>0</v>
      </c>
    </row>
    <row r="43" spans="1:12" x14ac:dyDescent="0.45">
      <c r="A43" s="117">
        <f t="shared" si="51"/>
        <v>45663</v>
      </c>
      <c r="B43" s="117">
        <f t="shared" ref="B43:G43" si="59">A43+1</f>
        <v>45664</v>
      </c>
      <c r="C43" s="117">
        <f t="shared" si="59"/>
        <v>45665</v>
      </c>
      <c r="D43" s="117">
        <f t="shared" si="59"/>
        <v>45666</v>
      </c>
      <c r="E43" s="117">
        <f t="shared" si="59"/>
        <v>45667</v>
      </c>
      <c r="F43" s="118">
        <f t="shared" si="59"/>
        <v>45668</v>
      </c>
      <c r="G43" s="118">
        <f t="shared" si="59"/>
        <v>45669</v>
      </c>
      <c r="I43" s="125">
        <f>IF(J43=0,"",COUNTIFS(J$3:J43,1))</f>
        <v>39</v>
      </c>
      <c r="J43" s="123">
        <f t="shared" si="2"/>
        <v>1</v>
      </c>
      <c r="K43" s="117">
        <f>A42</f>
        <v>45656</v>
      </c>
      <c r="L43" s="117">
        <f t="shared" ref="L43" si="60">E43</f>
        <v>45667</v>
      </c>
    </row>
    <row r="44" spans="1:12" x14ac:dyDescent="0.45">
      <c r="A44" s="117">
        <f t="shared" si="51"/>
        <v>45670</v>
      </c>
      <c r="B44" s="117">
        <f t="shared" ref="B44:G44" si="61">A44+1</f>
        <v>45671</v>
      </c>
      <c r="C44" s="117">
        <f t="shared" si="61"/>
        <v>45672</v>
      </c>
      <c r="D44" s="117">
        <f t="shared" si="61"/>
        <v>45673</v>
      </c>
      <c r="E44" s="117">
        <f t="shared" si="61"/>
        <v>45674</v>
      </c>
      <c r="F44" s="118">
        <f t="shared" si="61"/>
        <v>45675</v>
      </c>
      <c r="G44" s="118">
        <f t="shared" si="61"/>
        <v>45676</v>
      </c>
      <c r="I44" s="125">
        <f>IF(J44=0,"",COUNTIFS(J$3:J44,1))</f>
        <v>40</v>
      </c>
      <c r="J44" s="123">
        <f t="shared" si="2"/>
        <v>1</v>
      </c>
      <c r="K44" s="117">
        <f>B44</f>
        <v>45671</v>
      </c>
      <c r="L44" s="117">
        <f>E44</f>
        <v>45674</v>
      </c>
    </row>
    <row r="45" spans="1:12" x14ac:dyDescent="0.45">
      <c r="A45" s="117">
        <f t="shared" si="51"/>
        <v>45677</v>
      </c>
      <c r="B45" s="117">
        <f t="shared" ref="B45:G45" si="62">A45+1</f>
        <v>45678</v>
      </c>
      <c r="C45" s="117">
        <f t="shared" si="62"/>
        <v>45679</v>
      </c>
      <c r="D45" s="117">
        <f t="shared" si="62"/>
        <v>45680</v>
      </c>
      <c r="E45" s="117">
        <f t="shared" si="62"/>
        <v>45681</v>
      </c>
      <c r="F45" s="118">
        <f t="shared" si="62"/>
        <v>45682</v>
      </c>
      <c r="G45" s="118">
        <f t="shared" si="62"/>
        <v>45683</v>
      </c>
      <c r="I45" s="125">
        <f>IF(J45=0,"",COUNTIFS(J$3:J45,1))</f>
        <v>41</v>
      </c>
      <c r="J45" s="123">
        <f t="shared" si="2"/>
        <v>1</v>
      </c>
      <c r="K45" s="117">
        <f t="shared" ref="K45:K49" si="63">A45</f>
        <v>45677</v>
      </c>
      <c r="L45" s="117">
        <f t="shared" ref="L45:L49" si="64">E45</f>
        <v>45681</v>
      </c>
    </row>
    <row r="46" spans="1:12" x14ac:dyDescent="0.45">
      <c r="A46" s="117">
        <f t="shared" si="51"/>
        <v>45684</v>
      </c>
      <c r="B46" s="117">
        <f t="shared" ref="B46:G46" si="65">A46+1</f>
        <v>45685</v>
      </c>
      <c r="C46" s="117">
        <f t="shared" si="65"/>
        <v>45686</v>
      </c>
      <c r="D46" s="117">
        <f t="shared" si="65"/>
        <v>45687</v>
      </c>
      <c r="E46" s="117">
        <f t="shared" si="65"/>
        <v>45688</v>
      </c>
      <c r="F46" s="118">
        <f t="shared" si="65"/>
        <v>45689</v>
      </c>
      <c r="G46" s="118">
        <f t="shared" si="65"/>
        <v>45690</v>
      </c>
      <c r="I46" s="125">
        <f>IF(J46=0,"",COUNTIFS(J$3:J46,1))</f>
        <v>42</v>
      </c>
      <c r="J46" s="123">
        <f t="shared" si="2"/>
        <v>1</v>
      </c>
      <c r="K46" s="117">
        <f t="shared" si="63"/>
        <v>45684</v>
      </c>
      <c r="L46" s="117">
        <f t="shared" si="64"/>
        <v>45688</v>
      </c>
    </row>
    <row r="47" spans="1:12" x14ac:dyDescent="0.45">
      <c r="A47" s="117">
        <f t="shared" ref="A47:A55" si="66">A46+7</f>
        <v>45691</v>
      </c>
      <c r="B47" s="117">
        <f t="shared" ref="B47:G47" si="67">A47+1</f>
        <v>45692</v>
      </c>
      <c r="C47" s="117">
        <f t="shared" si="67"/>
        <v>45693</v>
      </c>
      <c r="D47" s="117">
        <f t="shared" si="67"/>
        <v>45694</v>
      </c>
      <c r="E47" s="117">
        <f t="shared" si="67"/>
        <v>45695</v>
      </c>
      <c r="F47" s="118">
        <f t="shared" si="67"/>
        <v>45696</v>
      </c>
      <c r="G47" s="118">
        <f t="shared" si="67"/>
        <v>45697</v>
      </c>
      <c r="I47" s="125">
        <f>IF(J47=0,"",COUNTIFS(J$3:J47,1))</f>
        <v>43</v>
      </c>
      <c r="J47" s="123">
        <f t="shared" si="2"/>
        <v>1</v>
      </c>
      <c r="K47" s="117">
        <f t="shared" si="63"/>
        <v>45691</v>
      </c>
      <c r="L47" s="117">
        <f t="shared" si="64"/>
        <v>45695</v>
      </c>
    </row>
    <row r="48" spans="1:12" x14ac:dyDescent="0.45">
      <c r="A48" s="117">
        <f t="shared" si="66"/>
        <v>45698</v>
      </c>
      <c r="B48" s="117">
        <f t="shared" ref="B48:G48" si="68">A48+1</f>
        <v>45699</v>
      </c>
      <c r="C48" s="117">
        <f t="shared" si="68"/>
        <v>45700</v>
      </c>
      <c r="D48" s="117">
        <f t="shared" si="68"/>
        <v>45701</v>
      </c>
      <c r="E48" s="117">
        <f t="shared" si="68"/>
        <v>45702</v>
      </c>
      <c r="F48" s="118">
        <f t="shared" si="68"/>
        <v>45703</v>
      </c>
      <c r="G48" s="118">
        <f t="shared" si="68"/>
        <v>45704</v>
      </c>
      <c r="I48" s="125">
        <f>IF(J48=0,"",COUNTIFS(J$3:J48,1))</f>
        <v>44</v>
      </c>
      <c r="J48" s="123">
        <f t="shared" si="2"/>
        <v>1</v>
      </c>
      <c r="K48" s="117">
        <f t="shared" si="63"/>
        <v>45698</v>
      </c>
      <c r="L48" s="117">
        <f t="shared" si="64"/>
        <v>45702</v>
      </c>
    </row>
    <row r="49" spans="1:12" x14ac:dyDescent="0.45">
      <c r="A49" s="117">
        <f t="shared" si="66"/>
        <v>45705</v>
      </c>
      <c r="B49" s="117">
        <f t="shared" ref="B49:G49" si="69">A49+1</f>
        <v>45706</v>
      </c>
      <c r="C49" s="117">
        <f t="shared" si="69"/>
        <v>45707</v>
      </c>
      <c r="D49" s="117">
        <f t="shared" si="69"/>
        <v>45708</v>
      </c>
      <c r="E49" s="117">
        <f t="shared" si="69"/>
        <v>45709</v>
      </c>
      <c r="F49" s="118">
        <f t="shared" si="69"/>
        <v>45710</v>
      </c>
      <c r="G49" s="118">
        <f t="shared" si="69"/>
        <v>45711</v>
      </c>
      <c r="I49" s="125">
        <f>IF(J49=0,"",COUNTIFS(J$3:J49,1))</f>
        <v>45</v>
      </c>
      <c r="J49" s="123">
        <f t="shared" si="2"/>
        <v>1</v>
      </c>
      <c r="K49" s="117">
        <f t="shared" si="63"/>
        <v>45705</v>
      </c>
      <c r="L49" s="117">
        <f t="shared" si="64"/>
        <v>45709</v>
      </c>
    </row>
    <row r="50" spans="1:12" x14ac:dyDescent="0.45">
      <c r="A50" s="117">
        <f t="shared" si="66"/>
        <v>45712</v>
      </c>
      <c r="B50" s="117">
        <f t="shared" ref="B50:G50" si="70">A50+1</f>
        <v>45713</v>
      </c>
      <c r="C50" s="117">
        <f t="shared" si="70"/>
        <v>45714</v>
      </c>
      <c r="D50" s="117">
        <f t="shared" si="70"/>
        <v>45715</v>
      </c>
      <c r="E50" s="117">
        <f t="shared" si="70"/>
        <v>45716</v>
      </c>
      <c r="F50" s="118">
        <f t="shared" si="70"/>
        <v>45717</v>
      </c>
      <c r="G50" s="118">
        <f t="shared" si="70"/>
        <v>45718</v>
      </c>
      <c r="I50" s="125">
        <f>IF(J50=0,"",COUNTIFS(J$3:J50,1))</f>
        <v>46</v>
      </c>
      <c r="J50" s="123">
        <f t="shared" si="2"/>
        <v>1</v>
      </c>
      <c r="K50" s="117">
        <f>B50</f>
        <v>45713</v>
      </c>
      <c r="L50" s="117">
        <f>E50</f>
        <v>45716</v>
      </c>
    </row>
    <row r="51" spans="1:12" x14ac:dyDescent="0.45">
      <c r="A51" s="117">
        <f t="shared" si="66"/>
        <v>45719</v>
      </c>
      <c r="B51" s="117">
        <f t="shared" ref="B51:G51" si="71">A51+1</f>
        <v>45720</v>
      </c>
      <c r="C51" s="117">
        <f t="shared" si="71"/>
        <v>45721</v>
      </c>
      <c r="D51" s="117">
        <f t="shared" si="71"/>
        <v>45722</v>
      </c>
      <c r="E51" s="117">
        <f t="shared" si="71"/>
        <v>45723</v>
      </c>
      <c r="F51" s="118">
        <f t="shared" si="71"/>
        <v>45724</v>
      </c>
      <c r="G51" s="118">
        <f t="shared" si="71"/>
        <v>45725</v>
      </c>
      <c r="I51" s="125">
        <f>IF(J51=0,"",COUNTIFS(J$3:J51,1))</f>
        <v>47</v>
      </c>
      <c r="J51" s="123">
        <f t="shared" si="2"/>
        <v>1</v>
      </c>
      <c r="K51" s="117">
        <f t="shared" ref="K51:K54" si="72">A51</f>
        <v>45719</v>
      </c>
      <c r="L51" s="117">
        <f t="shared" ref="L51:L54" si="73">E51</f>
        <v>45723</v>
      </c>
    </row>
    <row r="52" spans="1:12" x14ac:dyDescent="0.45">
      <c r="A52" s="117">
        <f t="shared" si="66"/>
        <v>45726</v>
      </c>
      <c r="B52" s="117">
        <f t="shared" ref="B52:G52" si="74">A52+1</f>
        <v>45727</v>
      </c>
      <c r="C52" s="117">
        <f t="shared" si="74"/>
        <v>45728</v>
      </c>
      <c r="D52" s="117">
        <f t="shared" si="74"/>
        <v>45729</v>
      </c>
      <c r="E52" s="117">
        <f t="shared" si="74"/>
        <v>45730</v>
      </c>
      <c r="F52" s="118">
        <f t="shared" si="74"/>
        <v>45731</v>
      </c>
      <c r="G52" s="118">
        <f t="shared" si="74"/>
        <v>45732</v>
      </c>
      <c r="I52" s="125">
        <f>IF(J52=0,"",COUNTIFS(J$3:J52,1))</f>
        <v>48</v>
      </c>
      <c r="J52" s="123">
        <f t="shared" si="2"/>
        <v>1</v>
      </c>
      <c r="K52" s="117">
        <f t="shared" si="72"/>
        <v>45726</v>
      </c>
      <c r="L52" s="117">
        <f t="shared" si="73"/>
        <v>45730</v>
      </c>
    </row>
    <row r="53" spans="1:12" x14ac:dyDescent="0.45">
      <c r="A53" s="117">
        <f t="shared" si="66"/>
        <v>45733</v>
      </c>
      <c r="B53" s="117">
        <f t="shared" ref="B53:G54" si="75">A53+1</f>
        <v>45734</v>
      </c>
      <c r="C53" s="117">
        <f t="shared" si="75"/>
        <v>45735</v>
      </c>
      <c r="D53" s="117">
        <f t="shared" si="75"/>
        <v>45736</v>
      </c>
      <c r="E53" s="117">
        <f t="shared" si="75"/>
        <v>45737</v>
      </c>
      <c r="F53" s="118">
        <f t="shared" si="75"/>
        <v>45738</v>
      </c>
      <c r="G53" s="118">
        <f t="shared" si="75"/>
        <v>45739</v>
      </c>
      <c r="I53" s="125">
        <f>IF(J53=0,"",COUNTIFS(J$3:J53,1))</f>
        <v>49</v>
      </c>
      <c r="J53" s="123">
        <f t="shared" si="2"/>
        <v>1</v>
      </c>
      <c r="K53" s="117">
        <f t="shared" si="72"/>
        <v>45733</v>
      </c>
      <c r="L53" s="117">
        <f t="shared" si="73"/>
        <v>45737</v>
      </c>
    </row>
    <row r="54" spans="1:12" x14ac:dyDescent="0.45">
      <c r="A54" s="117">
        <f t="shared" si="66"/>
        <v>45740</v>
      </c>
      <c r="B54" s="117">
        <f t="shared" si="75"/>
        <v>45741</v>
      </c>
      <c r="C54" s="117">
        <f t="shared" si="75"/>
        <v>45742</v>
      </c>
      <c r="D54" s="117">
        <f t="shared" si="75"/>
        <v>45743</v>
      </c>
      <c r="E54" s="117">
        <f t="shared" si="75"/>
        <v>45744</v>
      </c>
      <c r="F54" s="118">
        <f t="shared" si="75"/>
        <v>45745</v>
      </c>
      <c r="G54" s="118">
        <f t="shared" si="75"/>
        <v>45746</v>
      </c>
      <c r="I54" s="125">
        <f>IF(J54=0,"",COUNTIFS(J$3:J54,1))</f>
        <v>50</v>
      </c>
      <c r="J54" s="123">
        <f t="shared" si="2"/>
        <v>1</v>
      </c>
      <c r="K54" s="117">
        <f t="shared" si="72"/>
        <v>45740</v>
      </c>
      <c r="L54" s="117">
        <f t="shared" si="73"/>
        <v>45744</v>
      </c>
    </row>
    <row r="55" spans="1:12" x14ac:dyDescent="0.45">
      <c r="A55" s="117">
        <f t="shared" si="66"/>
        <v>45747</v>
      </c>
      <c r="B55" s="117"/>
      <c r="C55" s="117"/>
      <c r="D55" s="117"/>
      <c r="E55" s="117"/>
      <c r="F55" s="117"/>
      <c r="G55" s="117"/>
    </row>
  </sheetData>
  <phoneticPr fontId="1"/>
  <conditionalFormatting sqref="A3:E55">
    <cfRule type="expression" dxfId="0" priority="1">
      <formula>COUNTIFS($N:$N,A3)=1</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501A0-338A-4461-8F4E-437B3EF1854F}">
  <sheetPr codeName="Sheet12">
    <pageSetUpPr fitToPage="1"/>
  </sheetPr>
  <dimension ref="B1:F59"/>
  <sheetViews>
    <sheetView showGridLines="0" zoomScaleNormal="100" workbookViewId="0">
      <selection activeCell="A147" sqref="A147"/>
    </sheetView>
  </sheetViews>
  <sheetFormatPr defaultColWidth="8.69921875" defaultRowHeight="15" x14ac:dyDescent="0.45"/>
  <cols>
    <col min="1" max="1" width="2.3984375" style="11" customWidth="1"/>
    <col min="2" max="2" width="9.19921875" style="11" customWidth="1"/>
    <col min="3" max="3" width="15.8984375" style="11" customWidth="1"/>
    <col min="4" max="4" width="47.8984375" style="25" customWidth="1"/>
    <col min="5" max="5" width="20.5" style="25" customWidth="1"/>
    <col min="6" max="6" width="30.19921875" style="11" customWidth="1"/>
    <col min="7" max="16384" width="8.69921875" style="11"/>
  </cols>
  <sheetData>
    <row r="1" spans="2:5" x14ac:dyDescent="0.45">
      <c r="B1" s="102">
        <v>45383</v>
      </c>
      <c r="C1" s="53"/>
    </row>
    <row r="2" spans="2:5" s="78" customFormat="1" ht="18.600000000000001" x14ac:dyDescent="0.45">
      <c r="B2" s="89" t="s">
        <v>1532</v>
      </c>
      <c r="D2" s="79"/>
      <c r="E2" s="79"/>
    </row>
    <row r="3" spans="2:5" x14ac:dyDescent="0.45">
      <c r="B3" s="98" t="s">
        <v>1533</v>
      </c>
      <c r="C3" s="11" t="s">
        <v>1534</v>
      </c>
    </row>
    <row r="4" spans="2:5" x14ac:dyDescent="0.45">
      <c r="B4" s="10"/>
      <c r="C4" s="11" t="s">
        <v>1535</v>
      </c>
    </row>
    <row r="5" spans="2:5" x14ac:dyDescent="0.45">
      <c r="B5" s="10"/>
      <c r="C5" s="11" t="s">
        <v>1536</v>
      </c>
    </row>
    <row r="6" spans="2:5" ht="6.6" customHeight="1" x14ac:dyDescent="0.45">
      <c r="B6" s="10"/>
    </row>
    <row r="7" spans="2:5" x14ac:dyDescent="0.45">
      <c r="B7" s="98" t="s">
        <v>1537</v>
      </c>
      <c r="C7" s="11" t="s">
        <v>1538</v>
      </c>
    </row>
    <row r="8" spans="2:5" x14ac:dyDescent="0.45">
      <c r="B8" s="10"/>
      <c r="C8" s="11" t="s">
        <v>1539</v>
      </c>
    </row>
    <row r="9" spans="2:5" x14ac:dyDescent="0.45">
      <c r="B9" s="10"/>
      <c r="C9" s="11" t="s">
        <v>1540</v>
      </c>
    </row>
    <row r="10" spans="2:5" ht="6.6" customHeight="1" x14ac:dyDescent="0.45">
      <c r="B10" s="10"/>
    </row>
    <row r="11" spans="2:5" x14ac:dyDescent="0.45">
      <c r="B11" s="98" t="s">
        <v>1541</v>
      </c>
      <c r="C11" s="11" t="s">
        <v>1542</v>
      </c>
    </row>
    <row r="12" spans="2:5" ht="6.6" customHeight="1" x14ac:dyDescent="0.45">
      <c r="B12" s="10"/>
    </row>
    <row r="13" spans="2:5" x14ac:dyDescent="0.45">
      <c r="B13" s="98" t="s">
        <v>1543</v>
      </c>
      <c r="C13" s="11" t="s">
        <v>1544</v>
      </c>
    </row>
    <row r="14" spans="2:5" ht="6.6" customHeight="1" x14ac:dyDescent="0.45">
      <c r="B14" s="10"/>
    </row>
    <row r="15" spans="2:5" x14ac:dyDescent="0.45">
      <c r="B15" s="98" t="s">
        <v>1545</v>
      </c>
      <c r="C15" s="11" t="s">
        <v>1546</v>
      </c>
    </row>
    <row r="16" spans="2:5" x14ac:dyDescent="0.45">
      <c r="B16" s="88"/>
      <c r="C16" s="11" t="s">
        <v>1547</v>
      </c>
    </row>
    <row r="17" spans="2:3" x14ac:dyDescent="0.45">
      <c r="B17" s="88"/>
      <c r="C17" s="11" t="s">
        <v>1548</v>
      </c>
    </row>
    <row r="18" spans="2:3" x14ac:dyDescent="0.45">
      <c r="B18" s="88"/>
      <c r="C18" s="11" t="s">
        <v>1549</v>
      </c>
    </row>
    <row r="19" spans="2:3" x14ac:dyDescent="0.45">
      <c r="B19" s="88"/>
      <c r="C19" s="11" t="s">
        <v>1550</v>
      </c>
    </row>
    <row r="20" spans="2:3" x14ac:dyDescent="0.45">
      <c r="B20" s="10"/>
      <c r="C20" s="11" t="s">
        <v>1551</v>
      </c>
    </row>
    <row r="21" spans="2:3" x14ac:dyDescent="0.45">
      <c r="B21" s="10"/>
      <c r="C21" s="94" t="s">
        <v>1552</v>
      </c>
    </row>
    <row r="22" spans="2:3" x14ac:dyDescent="0.45">
      <c r="B22" s="88"/>
      <c r="C22" s="94" t="s">
        <v>1553</v>
      </c>
    </row>
    <row r="23" spans="2:3" x14ac:dyDescent="0.45">
      <c r="B23" s="88"/>
      <c r="C23" s="53" t="s">
        <v>1554</v>
      </c>
    </row>
    <row r="24" spans="2:3" x14ac:dyDescent="0.45">
      <c r="B24" s="88"/>
      <c r="C24" s="100" t="s">
        <v>1555</v>
      </c>
    </row>
    <row r="25" spans="2:3" x14ac:dyDescent="0.45">
      <c r="B25" s="10"/>
      <c r="C25" s="94" t="s">
        <v>1556</v>
      </c>
    </row>
    <row r="26" spans="2:3" ht="6.6" customHeight="1" x14ac:dyDescent="0.45">
      <c r="B26" s="10"/>
    </row>
    <row r="27" spans="2:3" x14ac:dyDescent="0.45">
      <c r="B27" s="98" t="s">
        <v>1557</v>
      </c>
      <c r="C27" s="53"/>
    </row>
    <row r="28" spans="2:3" ht="6" customHeight="1" x14ac:dyDescent="0.45">
      <c r="B28" s="53"/>
      <c r="C28" s="53"/>
    </row>
    <row r="29" spans="2:3" ht="16.2" x14ac:dyDescent="0.45">
      <c r="B29" s="110" t="s">
        <v>1558</v>
      </c>
      <c r="C29" s="53"/>
    </row>
    <row r="30" spans="2:3" x14ac:dyDescent="0.45">
      <c r="B30" s="53"/>
      <c r="C30" s="53"/>
    </row>
    <row r="31" spans="2:3" x14ac:dyDescent="0.45">
      <c r="B31" s="53"/>
      <c r="C31" s="53"/>
    </row>
    <row r="32" spans="2:3" x14ac:dyDescent="0.45">
      <c r="B32" s="53"/>
      <c r="C32" s="53"/>
    </row>
    <row r="33" spans="2:6" x14ac:dyDescent="0.45">
      <c r="B33" s="53"/>
      <c r="C33" s="53"/>
    </row>
    <row r="34" spans="2:6" x14ac:dyDescent="0.45">
      <c r="B34" s="53"/>
      <c r="C34" s="53"/>
    </row>
    <row r="35" spans="2:6" x14ac:dyDescent="0.45">
      <c r="B35" s="53"/>
      <c r="C35" s="53"/>
    </row>
    <row r="36" spans="2:6" x14ac:dyDescent="0.45">
      <c r="B36" s="53"/>
      <c r="C36" s="53"/>
    </row>
    <row r="37" spans="2:6" x14ac:dyDescent="0.45">
      <c r="B37" s="53"/>
      <c r="C37" s="53"/>
    </row>
    <row r="38" spans="2:6" x14ac:dyDescent="0.45">
      <c r="B38" s="53"/>
      <c r="C38" s="53"/>
    </row>
    <row r="39" spans="2:6" ht="16.2" x14ac:dyDescent="0.45">
      <c r="B39" s="110" t="s">
        <v>1559</v>
      </c>
      <c r="C39" s="53"/>
    </row>
    <row r="40" spans="2:6" ht="4.95" customHeight="1" thickBot="1" x14ac:dyDescent="0.5">
      <c r="B40" s="99"/>
      <c r="C40" s="53"/>
    </row>
    <row r="41" spans="2:6" ht="19.2" thickBot="1" x14ac:dyDescent="0.5">
      <c r="B41" s="96" t="s">
        <v>1560</v>
      </c>
      <c r="C41" s="97"/>
      <c r="D41" s="30" t="s">
        <v>7</v>
      </c>
      <c r="E41" s="51" t="s">
        <v>8</v>
      </c>
    </row>
    <row r="42" spans="2:6" s="10" customFormat="1" ht="29.4" thickBot="1" x14ac:dyDescent="0.5">
      <c r="B42" s="80" t="s">
        <v>13</v>
      </c>
      <c r="C42" s="84"/>
      <c r="D42" s="65" t="s">
        <v>14</v>
      </c>
      <c r="E42" s="66" t="s">
        <v>1561</v>
      </c>
      <c r="F42" s="67" t="s">
        <v>16</v>
      </c>
    </row>
    <row r="43" spans="2:6" x14ac:dyDescent="0.45">
      <c r="B43" s="81" t="s">
        <v>1423</v>
      </c>
      <c r="C43" s="85"/>
      <c r="D43" s="68"/>
      <c r="E43" s="69" t="s">
        <v>1423</v>
      </c>
      <c r="F43" s="70"/>
    </row>
    <row r="44" spans="2:6" x14ac:dyDescent="0.45">
      <c r="B44" s="82"/>
      <c r="C44" s="86"/>
      <c r="D44" s="71"/>
      <c r="E44" s="72"/>
      <c r="F44" s="73"/>
    </row>
    <row r="45" spans="2:6" x14ac:dyDescent="0.45">
      <c r="B45" s="82"/>
      <c r="C45" s="86"/>
      <c r="D45" s="71"/>
      <c r="E45" s="72"/>
      <c r="F45" s="73"/>
    </row>
    <row r="46" spans="2:6" x14ac:dyDescent="0.45">
      <c r="B46" s="82"/>
      <c r="C46" s="86"/>
      <c r="D46" s="71"/>
      <c r="E46" s="72"/>
      <c r="F46" s="73"/>
    </row>
    <row r="47" spans="2:6" x14ac:dyDescent="0.45">
      <c r="B47" s="83"/>
      <c r="C47" s="87"/>
      <c r="D47" s="74"/>
      <c r="E47" s="75"/>
      <c r="F47" s="76"/>
    </row>
    <row r="48" spans="2:6" x14ac:dyDescent="0.45">
      <c r="B48" s="81" t="s">
        <v>1425</v>
      </c>
      <c r="C48" s="85"/>
      <c r="D48" s="77"/>
      <c r="E48" s="69" t="s">
        <v>1425</v>
      </c>
      <c r="F48" s="70"/>
    </row>
    <row r="49" spans="2:6" x14ac:dyDescent="0.45">
      <c r="B49" s="82"/>
      <c r="C49" s="86"/>
      <c r="D49" s="71"/>
      <c r="E49" s="72"/>
      <c r="F49" s="73"/>
    </row>
    <row r="50" spans="2:6" x14ac:dyDescent="0.45">
      <c r="B50" s="82"/>
      <c r="C50" s="86"/>
      <c r="D50" s="71"/>
      <c r="E50" s="72"/>
      <c r="F50" s="73"/>
    </row>
    <row r="51" spans="2:6" x14ac:dyDescent="0.45">
      <c r="B51" s="82"/>
      <c r="C51" s="86"/>
      <c r="D51" s="71"/>
      <c r="E51" s="72"/>
      <c r="F51" s="73"/>
    </row>
    <row r="52" spans="2:6" x14ac:dyDescent="0.45">
      <c r="B52" s="90"/>
      <c r="C52" s="91"/>
      <c r="D52" s="74"/>
      <c r="E52" s="75"/>
      <c r="F52" s="76"/>
    </row>
    <row r="53" spans="2:6" x14ac:dyDescent="0.45">
      <c r="B53" s="92" t="s">
        <v>1562</v>
      </c>
      <c r="C53" s="92"/>
      <c r="D53" s="92" t="s">
        <v>1562</v>
      </c>
      <c r="E53" s="92" t="s">
        <v>1562</v>
      </c>
      <c r="F53" s="92" t="s">
        <v>1562</v>
      </c>
    </row>
    <row r="54" spans="2:6" x14ac:dyDescent="0.45">
      <c r="B54" s="92" t="s">
        <v>1562</v>
      </c>
      <c r="C54" s="92"/>
      <c r="D54" s="92" t="s">
        <v>1562</v>
      </c>
      <c r="E54" s="92" t="s">
        <v>1562</v>
      </c>
      <c r="F54" s="92" t="s">
        <v>1562</v>
      </c>
    </row>
    <row r="55" spans="2:6" x14ac:dyDescent="0.45">
      <c r="B55" s="92" t="s">
        <v>1562</v>
      </c>
      <c r="C55" s="92"/>
      <c r="D55" s="92" t="s">
        <v>1562</v>
      </c>
      <c r="E55" s="92" t="s">
        <v>1562</v>
      </c>
      <c r="F55" s="92" t="s">
        <v>1562</v>
      </c>
    </row>
    <row r="59" spans="2:6" x14ac:dyDescent="0.45">
      <c r="B59" s="11" t="s">
        <v>1563</v>
      </c>
    </row>
  </sheetData>
  <sheetProtection algorithmName="SHA-512" hashValue="1bp30iXacIoVf+NXWF5saiXsS+vjjF5ic9HSPJeETNFp/V/r2MkxiOe/3AxGy/Ux9DCcXVxm38nsps9loysLkQ==" saltValue="ZvT54bhvLus6DV3wOCR1IQ==" spinCount="100000" sheet="1" objects="1" scenarios="1"/>
  <customSheetViews>
    <customSheetView guid="{02EDAD20-C0CF-49D7-8002-3E7B011F1566}" showGridLines="0">
      <pane xSplit="3" ySplit="13" topLeftCell="D26" activePane="bottomRight" state="frozen"/>
      <selection pane="bottomRight" activeCell="B10" sqref="B10"/>
      <pageMargins left="0" right="0" top="0" bottom="0" header="0" footer="0"/>
    </customSheetView>
    <customSheetView guid="{BFEB2F4B-4D67-417B-95F9-B15A4E17E2A9}" showGridLines="0">
      <pane xSplit="3" ySplit="13" topLeftCell="D14" activePane="bottomRight" state="frozen"/>
      <selection pane="bottomRight" activeCell="D18" sqref="D18"/>
      <pageMargins left="0" right="0" top="0" bottom="0" header="0" footer="0"/>
    </customSheetView>
    <customSheetView guid="{10753637-46EC-4FCF-B2FC-FBC7B1E179E3}" showGridLines="0">
      <pane xSplit="3" ySplit="13" topLeftCell="D26" activePane="bottomRight" state="frozen"/>
      <selection pane="bottomRight" activeCell="B11" sqref="B11"/>
      <pageMargins left="0" right="0" top="0" bottom="0" header="0" footer="0"/>
    </customSheetView>
  </customSheetViews>
  <phoneticPr fontId="1"/>
  <hyperlinks>
    <hyperlink ref="E43" location="ﾘｽﾄ!A1" display="総務部" xr:uid="{8E043F72-AFD9-4CFE-AFA8-4305EADC890E}"/>
    <hyperlink ref="E48" location="ﾘｽﾄ!A1" display="人事部" xr:uid="{5394B480-6EB3-4F5A-8D8E-BD52A025AF43}"/>
    <hyperlink ref="E41" location="ﾘｽﾄ!A1" display="格納先一覧はこちら" xr:uid="{14617672-1C90-4CD1-8D29-053EC2099B18}"/>
  </hyperlinks>
  <printOptions horizontalCentered="1"/>
  <pageMargins left="0" right="0" top="0.59055118110236227" bottom="0" header="0.31496062992125984" footer="0.31496062992125984"/>
  <pageSetup paperSize="9" scale="76"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55</vt:i4>
      </vt:variant>
      <vt:variant>
        <vt:lpstr>名前付き一覧</vt:lpstr>
      </vt:variant>
      <vt:variant>
        <vt:i4>102</vt:i4>
      </vt:variant>
    </vt:vector>
  </HeadingPairs>
  <TitlesOfParts>
    <vt:vector size="157" baseType="lpstr">
      <vt:lpstr>目次</vt:lpstr>
      <vt:lpstr>ﾏｽﾀｰ</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ﾘｽﾄ</vt:lpstr>
      <vt:lpstr>日</vt:lpstr>
      <vt:lpstr>説明</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'31'!Print_Area</vt:lpstr>
      <vt:lpstr>'32'!Print_Area</vt:lpstr>
      <vt:lpstr>'33'!Print_Area</vt:lpstr>
      <vt:lpstr>'34'!Print_Area</vt:lpstr>
      <vt:lpstr>'35'!Print_Area</vt:lpstr>
      <vt:lpstr>'36'!Print_Area</vt:lpstr>
      <vt:lpstr>'37'!Print_Area</vt:lpstr>
      <vt:lpstr>'38'!Print_Area</vt:lpstr>
      <vt:lpstr>'39'!Print_Area</vt:lpstr>
      <vt:lpstr>'4'!Print_Area</vt:lpstr>
      <vt:lpstr>'40'!Print_Area</vt:lpstr>
      <vt:lpstr>'41'!Print_Area</vt:lpstr>
      <vt:lpstr>'42'!Print_Area</vt:lpstr>
      <vt:lpstr>'43'!Print_Area</vt:lpstr>
      <vt:lpstr>'44'!Print_Area</vt:lpstr>
      <vt:lpstr>'45'!Print_Area</vt:lpstr>
      <vt:lpstr>'46'!Print_Area</vt:lpstr>
      <vt:lpstr>'47'!Print_Area</vt:lpstr>
      <vt:lpstr>'48'!Print_Area</vt:lpstr>
      <vt:lpstr>'49'!Print_Area</vt:lpstr>
      <vt:lpstr>'5'!Print_Area</vt:lpstr>
      <vt:lpstr>'50'!Print_Area</vt:lpstr>
      <vt:lpstr>'6'!Print_Area</vt:lpstr>
      <vt:lpstr>'7'!Print_Area</vt:lpstr>
      <vt:lpstr>'8'!Print_Area</vt:lpstr>
      <vt:lpstr>'9'!Print_Area</vt:lpstr>
      <vt:lpstr>ﾏｽﾀｰ!Print_Area</vt:lpstr>
      <vt:lpstr>'1'!Print_Titles</vt:lpstr>
      <vt:lpstr>'10'!Print_Titles</vt:lpstr>
      <vt:lpstr>'11'!Print_Titles</vt:lpstr>
      <vt:lpstr>'12'!Print_Titles</vt:lpstr>
      <vt:lpstr>'13'!Print_Titles</vt:lpstr>
      <vt:lpstr>'14'!Print_Titles</vt:lpstr>
      <vt:lpstr>'15'!Print_Titles</vt:lpstr>
      <vt:lpstr>'16'!Print_Titles</vt:lpstr>
      <vt:lpstr>'17'!Print_Titles</vt:lpstr>
      <vt:lpstr>'18'!Print_Titles</vt:lpstr>
      <vt:lpstr>'19'!Print_Titles</vt:lpstr>
      <vt:lpstr>'2'!Print_Titles</vt:lpstr>
      <vt:lpstr>'20'!Print_Titles</vt:lpstr>
      <vt:lpstr>'21'!Print_Titles</vt:lpstr>
      <vt:lpstr>'22'!Print_Titles</vt:lpstr>
      <vt:lpstr>'23'!Print_Titles</vt:lpstr>
      <vt:lpstr>'24'!Print_Titles</vt:lpstr>
      <vt:lpstr>'25'!Print_Titles</vt:lpstr>
      <vt:lpstr>'26'!Print_Titles</vt:lpstr>
      <vt:lpstr>'27'!Print_Titles</vt:lpstr>
      <vt:lpstr>'28'!Print_Titles</vt:lpstr>
      <vt:lpstr>'29'!Print_Titles</vt:lpstr>
      <vt:lpstr>'3'!Print_Titles</vt:lpstr>
      <vt:lpstr>'30'!Print_Titles</vt:lpstr>
      <vt:lpstr>'31'!Print_Titles</vt:lpstr>
      <vt:lpstr>'32'!Print_Titles</vt:lpstr>
      <vt:lpstr>'33'!Print_Titles</vt:lpstr>
      <vt:lpstr>'34'!Print_Titles</vt:lpstr>
      <vt:lpstr>'35'!Print_Titles</vt:lpstr>
      <vt:lpstr>'36'!Print_Titles</vt:lpstr>
      <vt:lpstr>'37'!Print_Titles</vt:lpstr>
      <vt:lpstr>'38'!Print_Titles</vt:lpstr>
      <vt:lpstr>'39'!Print_Titles</vt:lpstr>
      <vt:lpstr>'4'!Print_Titles</vt:lpstr>
      <vt:lpstr>'40'!Print_Titles</vt:lpstr>
      <vt:lpstr>'41'!Print_Titles</vt:lpstr>
      <vt:lpstr>'42'!Print_Titles</vt:lpstr>
      <vt:lpstr>'43'!Print_Titles</vt:lpstr>
      <vt:lpstr>'44'!Print_Titles</vt:lpstr>
      <vt:lpstr>'45'!Print_Titles</vt:lpstr>
      <vt:lpstr>'46'!Print_Titles</vt:lpstr>
      <vt:lpstr>'47'!Print_Titles</vt:lpstr>
      <vt:lpstr>'48'!Print_Titles</vt:lpstr>
      <vt:lpstr>'49'!Print_Titles</vt:lpstr>
      <vt:lpstr>'5'!Print_Titles</vt:lpstr>
      <vt:lpstr>'50'!Print_Titles</vt:lpstr>
      <vt:lpstr>'6'!Print_Titles</vt:lpstr>
      <vt:lpstr>'7'!Print_Titles</vt:lpstr>
      <vt:lpstr>'8'!Print_Titles</vt:lpstr>
      <vt:lpstr>'9'!Print_Titles</vt:lpstr>
      <vt:lpstr>ﾏｽﾀｰ!Print_Titles</vt:lpstr>
    </vt:vector>
  </TitlesOfParts>
  <Manager/>
  <Company>OEC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森  真理子</dc:creator>
  <cp:keywords/>
  <dc:description/>
  <cp:lastModifiedBy>田村 京子</cp:lastModifiedBy>
  <cp:revision/>
  <dcterms:created xsi:type="dcterms:W3CDTF">2023-07-12T02:50:56Z</dcterms:created>
  <dcterms:modified xsi:type="dcterms:W3CDTF">2024-06-10T04:06:12Z</dcterms:modified>
  <cp:category/>
  <cp:contentStatus/>
</cp:coreProperties>
</file>